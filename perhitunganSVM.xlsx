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3.13\tugasAkhir\t5-adnarim\"/>
    </mc:Choice>
  </mc:AlternateContent>
  <xr:revisionPtr revIDLastSave="0" documentId="13_ncr:1_{01582DC8-0B0A-4C55-B98D-6948418D2708}" xr6:coauthVersionLast="47" xr6:coauthVersionMax="47" xr10:uidLastSave="{00000000-0000-0000-0000-000000000000}"/>
  <bookViews>
    <workbookView xWindow="-120" yWindow="-120" windowWidth="20730" windowHeight="11760" tabRatio="818" xr2:uid="{665327A6-4BDD-4A31-B8B1-07556BD55C94}"/>
  </bookViews>
  <sheets>
    <sheet name="hog_30lv_svm" sheetId="2" r:id="rId1"/>
    <sheet name="hog_20lv_svm" sheetId="11" r:id="rId2"/>
    <sheet name="hog_10lv_svm" sheetId="12" r:id="rId3"/>
    <sheet name="slic_30lv_svm" sheetId="13" r:id="rId4"/>
    <sheet name="slic_20lv_svm" sheetId="14" r:id="rId5"/>
    <sheet name="slic_10lv_svm" sheetId="15" r:id="rId6"/>
    <sheet name="pca_30lv_svm" sheetId="16" r:id="rId7"/>
    <sheet name="pca_20lv_svm" sheetId="17" r:id="rId8"/>
    <sheet name="pca_10lv_svm" sheetId="18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8" l="1"/>
  <c r="G27" i="18"/>
  <c r="F27" i="18"/>
  <c r="E27" i="18"/>
  <c r="D27" i="18"/>
  <c r="C27" i="18"/>
  <c r="B27" i="18"/>
  <c r="A27" i="18"/>
  <c r="H26" i="18"/>
  <c r="H31" i="18" s="1"/>
  <c r="G26" i="18"/>
  <c r="G31" i="18" s="1"/>
  <c r="F26" i="18"/>
  <c r="F31" i="18" s="1"/>
  <c r="E26" i="18"/>
  <c r="E31" i="18" s="1"/>
  <c r="D26" i="18"/>
  <c r="D31" i="18" s="1"/>
  <c r="C26" i="18"/>
  <c r="C31" i="18" s="1"/>
  <c r="B26" i="18"/>
  <c r="B31" i="18" s="1"/>
  <c r="A26" i="18"/>
  <c r="A31" i="18" s="1"/>
  <c r="Q22" i="18"/>
  <c r="O22" i="18"/>
  <c r="M22" i="18"/>
  <c r="K22" i="18"/>
  <c r="Q20" i="18"/>
  <c r="O20" i="18"/>
  <c r="M20" i="18"/>
  <c r="K20" i="18"/>
  <c r="Q18" i="18"/>
  <c r="O18" i="18"/>
  <c r="M18" i="18"/>
  <c r="K18" i="18"/>
  <c r="Q16" i="18"/>
  <c r="O16" i="18"/>
  <c r="M16" i="18"/>
  <c r="K16" i="18"/>
  <c r="Q14" i="18"/>
  <c r="O14" i="18"/>
  <c r="M14" i="18"/>
  <c r="K14" i="18"/>
  <c r="Q12" i="18"/>
  <c r="O12" i="18"/>
  <c r="M12" i="18"/>
  <c r="K12" i="18"/>
  <c r="Q10" i="18"/>
  <c r="O10" i="18"/>
  <c r="M10" i="18"/>
  <c r="K10" i="18"/>
  <c r="M9" i="18"/>
  <c r="K9" i="18"/>
  <c r="Q8" i="18"/>
  <c r="O8" i="18"/>
  <c r="M8" i="18"/>
  <c r="K8" i="18"/>
  <c r="Q7" i="18"/>
  <c r="O7" i="18"/>
  <c r="M7" i="18"/>
  <c r="K7" i="18"/>
  <c r="Q6" i="18"/>
  <c r="O6" i="18"/>
  <c r="M6" i="18"/>
  <c r="K6" i="18"/>
  <c r="Q5" i="18"/>
  <c r="O5" i="18"/>
  <c r="M5" i="18"/>
  <c r="K5" i="18"/>
  <c r="Q4" i="18"/>
  <c r="O4" i="18"/>
  <c r="M4" i="18"/>
  <c r="K4" i="18"/>
  <c r="Q3" i="18"/>
  <c r="O3" i="18"/>
  <c r="M3" i="18"/>
  <c r="K3" i="18"/>
  <c r="H27" i="17"/>
  <c r="G27" i="17"/>
  <c r="F27" i="17"/>
  <c r="E27" i="17"/>
  <c r="D27" i="17"/>
  <c r="C27" i="17"/>
  <c r="B27" i="17"/>
  <c r="A27" i="17"/>
  <c r="H26" i="17"/>
  <c r="H31" i="17" s="1"/>
  <c r="G26" i="17"/>
  <c r="G31" i="17" s="1"/>
  <c r="F26" i="17"/>
  <c r="F31" i="17" s="1"/>
  <c r="E26" i="17"/>
  <c r="E31" i="17" s="1"/>
  <c r="D26" i="17"/>
  <c r="D31" i="17" s="1"/>
  <c r="C26" i="17"/>
  <c r="C31" i="17" s="1"/>
  <c r="B26" i="17"/>
  <c r="B31" i="17" s="1"/>
  <c r="A26" i="17"/>
  <c r="A31" i="17" s="1"/>
  <c r="Q22" i="17"/>
  <c r="O22" i="17"/>
  <c r="M22" i="17"/>
  <c r="K22" i="17"/>
  <c r="Q20" i="17"/>
  <c r="O20" i="17"/>
  <c r="M20" i="17"/>
  <c r="K20" i="17"/>
  <c r="Q18" i="17"/>
  <c r="O18" i="17"/>
  <c r="M18" i="17"/>
  <c r="K18" i="17"/>
  <c r="Q16" i="17"/>
  <c r="O16" i="17"/>
  <c r="M16" i="17"/>
  <c r="K16" i="17"/>
  <c r="Q14" i="17"/>
  <c r="O14" i="17"/>
  <c r="M14" i="17"/>
  <c r="K14" i="17"/>
  <c r="Q12" i="17"/>
  <c r="O12" i="17"/>
  <c r="M12" i="17"/>
  <c r="K12" i="17"/>
  <c r="Q10" i="17"/>
  <c r="O10" i="17"/>
  <c r="M10" i="17"/>
  <c r="K10" i="17"/>
  <c r="M9" i="17"/>
  <c r="K9" i="17"/>
  <c r="Q8" i="17"/>
  <c r="O8" i="17"/>
  <c r="M8" i="17"/>
  <c r="K8" i="17"/>
  <c r="Q7" i="17"/>
  <c r="O7" i="17"/>
  <c r="M7" i="17"/>
  <c r="K7" i="17"/>
  <c r="Q6" i="17"/>
  <c r="O6" i="17"/>
  <c r="M6" i="17"/>
  <c r="K6" i="17"/>
  <c r="Q5" i="17"/>
  <c r="O5" i="17"/>
  <c r="M5" i="17"/>
  <c r="K5" i="17"/>
  <c r="Q4" i="17"/>
  <c r="O4" i="17"/>
  <c r="M4" i="17"/>
  <c r="K4" i="17"/>
  <c r="Q3" i="17"/>
  <c r="O3" i="17"/>
  <c r="M3" i="17"/>
  <c r="K3" i="17"/>
  <c r="H27" i="16"/>
  <c r="G27" i="16"/>
  <c r="F27" i="16"/>
  <c r="E27" i="16"/>
  <c r="D27" i="16"/>
  <c r="C27" i="16"/>
  <c r="B27" i="16"/>
  <c r="A27" i="16"/>
  <c r="H26" i="16"/>
  <c r="H31" i="16" s="1"/>
  <c r="G26" i="16"/>
  <c r="G31" i="16" s="1"/>
  <c r="F26" i="16"/>
  <c r="F31" i="16" s="1"/>
  <c r="E26" i="16"/>
  <c r="E31" i="16" s="1"/>
  <c r="D26" i="16"/>
  <c r="D31" i="16" s="1"/>
  <c r="C26" i="16"/>
  <c r="C31" i="16" s="1"/>
  <c r="B26" i="16"/>
  <c r="B31" i="16" s="1"/>
  <c r="A26" i="16"/>
  <c r="A31" i="16" s="1"/>
  <c r="Q22" i="16"/>
  <c r="O22" i="16"/>
  <c r="M22" i="16"/>
  <c r="K22" i="16"/>
  <c r="Q20" i="16"/>
  <c r="O20" i="16"/>
  <c r="M20" i="16"/>
  <c r="K20" i="16"/>
  <c r="Q18" i="16"/>
  <c r="O18" i="16"/>
  <c r="M18" i="16"/>
  <c r="K18" i="16"/>
  <c r="Q16" i="16"/>
  <c r="O16" i="16"/>
  <c r="M16" i="16"/>
  <c r="K16" i="16"/>
  <c r="Q14" i="16"/>
  <c r="O14" i="16"/>
  <c r="M14" i="16"/>
  <c r="K14" i="16"/>
  <c r="Q12" i="16"/>
  <c r="O12" i="16"/>
  <c r="M12" i="16"/>
  <c r="K12" i="16"/>
  <c r="Q10" i="16"/>
  <c r="O10" i="16"/>
  <c r="M10" i="16"/>
  <c r="K10" i="16"/>
  <c r="M9" i="16"/>
  <c r="K9" i="16"/>
  <c r="Q8" i="16"/>
  <c r="O8" i="16"/>
  <c r="M8" i="16"/>
  <c r="K8" i="16"/>
  <c r="Q7" i="16"/>
  <c r="O7" i="16"/>
  <c r="M7" i="16"/>
  <c r="K7" i="16"/>
  <c r="Q6" i="16"/>
  <c r="O6" i="16"/>
  <c r="M6" i="16"/>
  <c r="K6" i="16"/>
  <c r="Q5" i="16"/>
  <c r="O5" i="16"/>
  <c r="M5" i="16"/>
  <c r="K5" i="16"/>
  <c r="Q4" i="16"/>
  <c r="O4" i="16"/>
  <c r="M4" i="16"/>
  <c r="K4" i="16"/>
  <c r="Q3" i="16"/>
  <c r="O3" i="16"/>
  <c r="M3" i="16"/>
  <c r="K3" i="16"/>
  <c r="H27" i="15"/>
  <c r="G27" i="15"/>
  <c r="F27" i="15"/>
  <c r="E27" i="15"/>
  <c r="D27" i="15"/>
  <c r="C27" i="15"/>
  <c r="B27" i="15"/>
  <c r="A27" i="15"/>
  <c r="H26" i="15"/>
  <c r="H31" i="15" s="1"/>
  <c r="G26" i="15"/>
  <c r="G31" i="15" s="1"/>
  <c r="F26" i="15"/>
  <c r="F31" i="15" s="1"/>
  <c r="E26" i="15"/>
  <c r="E31" i="15" s="1"/>
  <c r="D26" i="15"/>
  <c r="D31" i="15" s="1"/>
  <c r="C26" i="15"/>
  <c r="C31" i="15" s="1"/>
  <c r="B26" i="15"/>
  <c r="B31" i="15" s="1"/>
  <c r="A26" i="15"/>
  <c r="A31" i="15" s="1"/>
  <c r="Q22" i="15"/>
  <c r="O22" i="15"/>
  <c r="M22" i="15"/>
  <c r="K22" i="15"/>
  <c r="Q20" i="15"/>
  <c r="O20" i="15"/>
  <c r="M20" i="15"/>
  <c r="K20" i="15"/>
  <c r="Q18" i="15"/>
  <c r="O18" i="15"/>
  <c r="M18" i="15"/>
  <c r="K18" i="15"/>
  <c r="Q16" i="15"/>
  <c r="O16" i="15"/>
  <c r="M16" i="15"/>
  <c r="K16" i="15"/>
  <c r="Q14" i="15"/>
  <c r="O14" i="15"/>
  <c r="M14" i="15"/>
  <c r="K14" i="15"/>
  <c r="Q12" i="15"/>
  <c r="O12" i="15"/>
  <c r="M12" i="15"/>
  <c r="K12" i="15"/>
  <c r="Q10" i="15"/>
  <c r="O10" i="15"/>
  <c r="M10" i="15"/>
  <c r="K10" i="15"/>
  <c r="M9" i="15"/>
  <c r="K9" i="15"/>
  <c r="Q8" i="15"/>
  <c r="O8" i="15"/>
  <c r="M8" i="15"/>
  <c r="K8" i="15"/>
  <c r="Q7" i="15"/>
  <c r="O7" i="15"/>
  <c r="M7" i="15"/>
  <c r="K7" i="15"/>
  <c r="Q6" i="15"/>
  <c r="O6" i="15"/>
  <c r="M6" i="15"/>
  <c r="K6" i="15"/>
  <c r="Q5" i="15"/>
  <c r="O5" i="15"/>
  <c r="M5" i="15"/>
  <c r="K5" i="15"/>
  <c r="Q4" i="15"/>
  <c r="O4" i="15"/>
  <c r="M4" i="15"/>
  <c r="K4" i="15"/>
  <c r="Q3" i="15"/>
  <c r="O3" i="15"/>
  <c r="M3" i="15"/>
  <c r="K3" i="15"/>
  <c r="H27" i="14"/>
  <c r="G27" i="14"/>
  <c r="F27" i="14"/>
  <c r="E27" i="14"/>
  <c r="D27" i="14"/>
  <c r="C27" i="14"/>
  <c r="B27" i="14"/>
  <c r="A27" i="14"/>
  <c r="H26" i="14"/>
  <c r="H31" i="14" s="1"/>
  <c r="G26" i="14"/>
  <c r="G31" i="14" s="1"/>
  <c r="P14" i="14" s="1"/>
  <c r="F26" i="14"/>
  <c r="F31" i="14" s="1"/>
  <c r="E26" i="14"/>
  <c r="E31" i="14" s="1"/>
  <c r="D26" i="14"/>
  <c r="D31" i="14" s="1"/>
  <c r="C26" i="14"/>
  <c r="C31" i="14" s="1"/>
  <c r="L16" i="14" s="1"/>
  <c r="B26" i="14"/>
  <c r="B31" i="14" s="1"/>
  <c r="A26" i="14"/>
  <c r="A31" i="14" s="1"/>
  <c r="J16" i="14"/>
  <c r="Q15" i="14"/>
  <c r="O15" i="14"/>
  <c r="M15" i="14"/>
  <c r="K15" i="14"/>
  <c r="N14" i="14"/>
  <c r="J14" i="14"/>
  <c r="Q13" i="14"/>
  <c r="O13" i="14"/>
  <c r="M13" i="14"/>
  <c r="K13" i="14"/>
  <c r="N12" i="14"/>
  <c r="J12" i="14"/>
  <c r="Q11" i="14"/>
  <c r="O11" i="14"/>
  <c r="M11" i="14"/>
  <c r="K11" i="14"/>
  <c r="N10" i="14"/>
  <c r="J10" i="14"/>
  <c r="Q9" i="14"/>
  <c r="O9" i="14"/>
  <c r="M9" i="14"/>
  <c r="L9" i="14"/>
  <c r="K9" i="14"/>
  <c r="J9" i="14"/>
  <c r="Q8" i="14"/>
  <c r="P8" i="14"/>
  <c r="O8" i="14"/>
  <c r="N8" i="14"/>
  <c r="M8" i="14"/>
  <c r="L8" i="14"/>
  <c r="K8" i="14"/>
  <c r="J8" i="14"/>
  <c r="R8" i="14" s="1"/>
  <c r="Q7" i="14"/>
  <c r="P7" i="14"/>
  <c r="O7" i="14"/>
  <c r="N7" i="14"/>
  <c r="M7" i="14"/>
  <c r="L7" i="14"/>
  <c r="K7" i="14"/>
  <c r="J7" i="14"/>
  <c r="R7" i="14" s="1"/>
  <c r="Q6" i="14"/>
  <c r="P6" i="14"/>
  <c r="O6" i="14"/>
  <c r="N6" i="14"/>
  <c r="M6" i="14"/>
  <c r="L6" i="14"/>
  <c r="K6" i="14"/>
  <c r="J6" i="14"/>
  <c r="R6" i="14" s="1"/>
  <c r="Q5" i="14"/>
  <c r="P5" i="14"/>
  <c r="O5" i="14"/>
  <c r="N5" i="14"/>
  <c r="M5" i="14"/>
  <c r="L5" i="14"/>
  <c r="K5" i="14"/>
  <c r="J5" i="14"/>
  <c r="R5" i="14" s="1"/>
  <c r="Q4" i="14"/>
  <c r="P4" i="14"/>
  <c r="O4" i="14"/>
  <c r="N4" i="14"/>
  <c r="M4" i="14"/>
  <c r="L4" i="14"/>
  <c r="K4" i="14"/>
  <c r="J4" i="14"/>
  <c r="R4" i="14" s="1"/>
  <c r="Q3" i="14"/>
  <c r="P3" i="14"/>
  <c r="O3" i="14"/>
  <c r="N3" i="14"/>
  <c r="M3" i="14"/>
  <c r="L3" i="14"/>
  <c r="K3" i="14"/>
  <c r="J3" i="14"/>
  <c r="R3" i="14" s="1"/>
  <c r="H27" i="13"/>
  <c r="G27" i="13"/>
  <c r="F27" i="13"/>
  <c r="E27" i="13"/>
  <c r="D27" i="13"/>
  <c r="C27" i="13"/>
  <c r="B27" i="13"/>
  <c r="A27" i="13"/>
  <c r="H26" i="13"/>
  <c r="H31" i="13" s="1"/>
  <c r="G26" i="13"/>
  <c r="G31" i="13" s="1"/>
  <c r="F26" i="13"/>
  <c r="F31" i="13" s="1"/>
  <c r="E26" i="13"/>
  <c r="E31" i="13" s="1"/>
  <c r="D26" i="13"/>
  <c r="D31" i="13" s="1"/>
  <c r="C26" i="13"/>
  <c r="C31" i="13" s="1"/>
  <c r="B26" i="13"/>
  <c r="B31" i="13" s="1"/>
  <c r="A26" i="13"/>
  <c r="A31" i="13" s="1"/>
  <c r="Q22" i="13"/>
  <c r="O22" i="13"/>
  <c r="M22" i="13"/>
  <c r="K22" i="13"/>
  <c r="Q20" i="13"/>
  <c r="O20" i="13"/>
  <c r="M20" i="13"/>
  <c r="K20" i="13"/>
  <c r="Q18" i="13"/>
  <c r="O18" i="13"/>
  <c r="M18" i="13"/>
  <c r="K18" i="13"/>
  <c r="Q16" i="13"/>
  <c r="O16" i="13"/>
  <c r="M16" i="13"/>
  <c r="K16" i="13"/>
  <c r="Q14" i="13"/>
  <c r="O14" i="13"/>
  <c r="M14" i="13"/>
  <c r="K14" i="13"/>
  <c r="Q12" i="13"/>
  <c r="O12" i="13"/>
  <c r="M12" i="13"/>
  <c r="K12" i="13"/>
  <c r="Q10" i="13"/>
  <c r="O10" i="13"/>
  <c r="M10" i="13"/>
  <c r="K10" i="13"/>
  <c r="M9" i="13"/>
  <c r="K9" i="13"/>
  <c r="Q8" i="13"/>
  <c r="O8" i="13"/>
  <c r="M8" i="13"/>
  <c r="K8" i="13"/>
  <c r="Q7" i="13"/>
  <c r="O7" i="13"/>
  <c r="M7" i="13"/>
  <c r="K7" i="13"/>
  <c r="Q6" i="13"/>
  <c r="O6" i="13"/>
  <c r="M6" i="13"/>
  <c r="K6" i="13"/>
  <c r="Q5" i="13"/>
  <c r="O5" i="13"/>
  <c r="M5" i="13"/>
  <c r="K5" i="13"/>
  <c r="Q4" i="13"/>
  <c r="O4" i="13"/>
  <c r="M4" i="13"/>
  <c r="K4" i="13"/>
  <c r="Q3" i="13"/>
  <c r="O3" i="13"/>
  <c r="M3" i="13"/>
  <c r="K3" i="13"/>
  <c r="H27" i="12"/>
  <c r="G27" i="12"/>
  <c r="F27" i="12"/>
  <c r="E27" i="12"/>
  <c r="D27" i="12"/>
  <c r="C27" i="12"/>
  <c r="B27" i="12"/>
  <c r="A27" i="12"/>
  <c r="H26" i="12"/>
  <c r="H31" i="12" s="1"/>
  <c r="G26" i="12"/>
  <c r="G31" i="12" s="1"/>
  <c r="F26" i="12"/>
  <c r="F31" i="12" s="1"/>
  <c r="O8" i="12" s="1"/>
  <c r="E26" i="12"/>
  <c r="E31" i="12" s="1"/>
  <c r="D26" i="12"/>
  <c r="D31" i="12" s="1"/>
  <c r="C26" i="12"/>
  <c r="C31" i="12" s="1"/>
  <c r="B26" i="12"/>
  <c r="B31" i="12" s="1"/>
  <c r="K8" i="12" s="1"/>
  <c r="A26" i="12"/>
  <c r="A31" i="12" s="1"/>
  <c r="M9" i="12"/>
  <c r="L9" i="12"/>
  <c r="K9" i="12"/>
  <c r="J9" i="12"/>
  <c r="Q8" i="12"/>
  <c r="M8" i="12"/>
  <c r="Q7" i="12"/>
  <c r="P7" i="12"/>
  <c r="O7" i="12"/>
  <c r="N7" i="12"/>
  <c r="M7" i="12"/>
  <c r="L7" i="12"/>
  <c r="K7" i="12"/>
  <c r="J7" i="12"/>
  <c r="Q6" i="12"/>
  <c r="M6" i="12"/>
  <c r="Q5" i="12"/>
  <c r="P5" i="12"/>
  <c r="O5" i="12"/>
  <c r="N5" i="12"/>
  <c r="M5" i="12"/>
  <c r="L5" i="12"/>
  <c r="K5" i="12"/>
  <c r="J5" i="12"/>
  <c r="Q4" i="12"/>
  <c r="M4" i="12"/>
  <c r="Q3" i="12"/>
  <c r="P3" i="12"/>
  <c r="O3" i="12"/>
  <c r="N3" i="12"/>
  <c r="M3" i="12"/>
  <c r="L3" i="12"/>
  <c r="K3" i="12"/>
  <c r="J3" i="12"/>
  <c r="L10" i="14" l="1"/>
  <c r="P10" i="14"/>
  <c r="L12" i="14"/>
  <c r="P12" i="14"/>
  <c r="L14" i="14"/>
  <c r="R3" i="12"/>
  <c r="K4" i="12"/>
  <c r="O4" i="12"/>
  <c r="R5" i="12"/>
  <c r="K6" i="12"/>
  <c r="O6" i="12"/>
  <c r="R7" i="12"/>
  <c r="J22" i="18"/>
  <c r="J20" i="18"/>
  <c r="J18" i="18"/>
  <c r="J16" i="18"/>
  <c r="J14" i="18"/>
  <c r="J12" i="18"/>
  <c r="J10" i="18"/>
  <c r="J21" i="18"/>
  <c r="J17" i="18"/>
  <c r="J13" i="18"/>
  <c r="J9" i="18"/>
  <c r="J7" i="18"/>
  <c r="J5" i="18"/>
  <c r="J3" i="18"/>
  <c r="J35" i="18"/>
  <c r="J19" i="18"/>
  <c r="J15" i="18"/>
  <c r="J11" i="18"/>
  <c r="J8" i="18"/>
  <c r="J6" i="18"/>
  <c r="J4" i="18"/>
  <c r="L22" i="18"/>
  <c r="L20" i="18"/>
  <c r="L18" i="18"/>
  <c r="L16" i="18"/>
  <c r="L14" i="18"/>
  <c r="L12" i="18"/>
  <c r="L10" i="18"/>
  <c r="L35" i="18"/>
  <c r="L19" i="18"/>
  <c r="L15" i="18"/>
  <c r="L11" i="18"/>
  <c r="L9" i="18"/>
  <c r="L7" i="18"/>
  <c r="L5" i="18"/>
  <c r="L3" i="18"/>
  <c r="L21" i="18"/>
  <c r="L17" i="18"/>
  <c r="L13" i="18"/>
  <c r="L8" i="18"/>
  <c r="L6" i="18"/>
  <c r="L4" i="18"/>
  <c r="N22" i="18"/>
  <c r="N20" i="18"/>
  <c r="N18" i="18"/>
  <c r="N16" i="18"/>
  <c r="N14" i="18"/>
  <c r="N12" i="18"/>
  <c r="N10" i="18"/>
  <c r="N21" i="18"/>
  <c r="N17" i="18"/>
  <c r="N13" i="18"/>
  <c r="N9" i="18"/>
  <c r="N7" i="18"/>
  <c r="N5" i="18"/>
  <c r="N3" i="18"/>
  <c r="N35" i="18"/>
  <c r="N19" i="18"/>
  <c r="N15" i="18"/>
  <c r="N11" i="18"/>
  <c r="N8" i="18"/>
  <c r="N6" i="18"/>
  <c r="N4" i="18"/>
  <c r="P22" i="18"/>
  <c r="P20" i="18"/>
  <c r="P18" i="18"/>
  <c r="P16" i="18"/>
  <c r="P14" i="18"/>
  <c r="P12" i="18"/>
  <c r="P10" i="18"/>
  <c r="P35" i="18"/>
  <c r="P19" i="18"/>
  <c r="P15" i="18"/>
  <c r="P11" i="18"/>
  <c r="P7" i="18"/>
  <c r="P5" i="18"/>
  <c r="P3" i="18"/>
  <c r="P21" i="18"/>
  <c r="P17" i="18"/>
  <c r="P13" i="18"/>
  <c r="P9" i="18"/>
  <c r="P8" i="18"/>
  <c r="P6" i="18"/>
  <c r="P4" i="18"/>
  <c r="K35" i="18"/>
  <c r="K21" i="18"/>
  <c r="K19" i="18"/>
  <c r="K17" i="18"/>
  <c r="K15" i="18"/>
  <c r="K13" i="18"/>
  <c r="K11" i="18"/>
  <c r="M35" i="18"/>
  <c r="M21" i="18"/>
  <c r="M19" i="18"/>
  <c r="M17" i="18"/>
  <c r="M15" i="18"/>
  <c r="M13" i="18"/>
  <c r="M11" i="18"/>
  <c r="O35" i="18"/>
  <c r="O21" i="18"/>
  <c r="O19" i="18"/>
  <c r="O17" i="18"/>
  <c r="O15" i="18"/>
  <c r="O13" i="18"/>
  <c r="O11" i="18"/>
  <c r="O9" i="18"/>
  <c r="Q35" i="18"/>
  <c r="Q21" i="18"/>
  <c r="Q19" i="18"/>
  <c r="Q17" i="18"/>
  <c r="Q15" i="18"/>
  <c r="Q13" i="18"/>
  <c r="Q11" i="18"/>
  <c r="Q9" i="18"/>
  <c r="J22" i="17"/>
  <c r="J20" i="17"/>
  <c r="J18" i="17"/>
  <c r="J16" i="17"/>
  <c r="J14" i="17"/>
  <c r="J12" i="17"/>
  <c r="J10" i="17"/>
  <c r="J21" i="17"/>
  <c r="J17" i="17"/>
  <c r="J13" i="17"/>
  <c r="J9" i="17"/>
  <c r="J7" i="17"/>
  <c r="J5" i="17"/>
  <c r="J3" i="17"/>
  <c r="J35" i="17"/>
  <c r="J19" i="17"/>
  <c r="J15" i="17"/>
  <c r="J11" i="17"/>
  <c r="J8" i="17"/>
  <c r="J6" i="17"/>
  <c r="J4" i="17"/>
  <c r="L22" i="17"/>
  <c r="L20" i="17"/>
  <c r="L18" i="17"/>
  <c r="L16" i="17"/>
  <c r="L14" i="17"/>
  <c r="L12" i="17"/>
  <c r="L10" i="17"/>
  <c r="L35" i="17"/>
  <c r="L19" i="17"/>
  <c r="L15" i="17"/>
  <c r="L11" i="17"/>
  <c r="L9" i="17"/>
  <c r="L7" i="17"/>
  <c r="L5" i="17"/>
  <c r="L3" i="17"/>
  <c r="L21" i="17"/>
  <c r="L17" i="17"/>
  <c r="L13" i="17"/>
  <c r="L8" i="17"/>
  <c r="L6" i="17"/>
  <c r="L4" i="17"/>
  <c r="N22" i="17"/>
  <c r="N20" i="17"/>
  <c r="N18" i="17"/>
  <c r="N16" i="17"/>
  <c r="N14" i="17"/>
  <c r="N12" i="17"/>
  <c r="N10" i="17"/>
  <c r="N21" i="17"/>
  <c r="N17" i="17"/>
  <c r="N13" i="17"/>
  <c r="N9" i="17"/>
  <c r="N7" i="17"/>
  <c r="N5" i="17"/>
  <c r="N3" i="17"/>
  <c r="N35" i="17"/>
  <c r="N19" i="17"/>
  <c r="N15" i="17"/>
  <c r="N11" i="17"/>
  <c r="N8" i="17"/>
  <c r="N6" i="17"/>
  <c r="N4" i="17"/>
  <c r="P22" i="17"/>
  <c r="P20" i="17"/>
  <c r="P18" i="17"/>
  <c r="P16" i="17"/>
  <c r="P14" i="17"/>
  <c r="P12" i="17"/>
  <c r="P10" i="17"/>
  <c r="P35" i="17"/>
  <c r="P19" i="17"/>
  <c r="P15" i="17"/>
  <c r="P11" i="17"/>
  <c r="P7" i="17"/>
  <c r="P5" i="17"/>
  <c r="P3" i="17"/>
  <c r="P21" i="17"/>
  <c r="P17" i="17"/>
  <c r="P13" i="17"/>
  <c r="P9" i="17"/>
  <c r="P8" i="17"/>
  <c r="P6" i="17"/>
  <c r="P4" i="17"/>
  <c r="K35" i="17"/>
  <c r="K21" i="17"/>
  <c r="K19" i="17"/>
  <c r="K17" i="17"/>
  <c r="K15" i="17"/>
  <c r="K13" i="17"/>
  <c r="K11" i="17"/>
  <c r="M35" i="17"/>
  <c r="M21" i="17"/>
  <c r="M19" i="17"/>
  <c r="M17" i="17"/>
  <c r="M15" i="17"/>
  <c r="M13" i="17"/>
  <c r="M11" i="17"/>
  <c r="O35" i="17"/>
  <c r="O21" i="17"/>
  <c r="O19" i="17"/>
  <c r="O17" i="17"/>
  <c r="O15" i="17"/>
  <c r="O13" i="17"/>
  <c r="O11" i="17"/>
  <c r="O9" i="17"/>
  <c r="Q35" i="17"/>
  <c r="Q21" i="17"/>
  <c r="Q19" i="17"/>
  <c r="Q17" i="17"/>
  <c r="Q15" i="17"/>
  <c r="Q13" i="17"/>
  <c r="Q11" i="17"/>
  <c r="Q9" i="17"/>
  <c r="J22" i="16"/>
  <c r="J20" i="16"/>
  <c r="J18" i="16"/>
  <c r="J16" i="16"/>
  <c r="J14" i="16"/>
  <c r="J12" i="16"/>
  <c r="J10" i="16"/>
  <c r="J21" i="16"/>
  <c r="J17" i="16"/>
  <c r="J13" i="16"/>
  <c r="J9" i="16"/>
  <c r="J7" i="16"/>
  <c r="J5" i="16"/>
  <c r="J3" i="16"/>
  <c r="J35" i="16"/>
  <c r="J19" i="16"/>
  <c r="J15" i="16"/>
  <c r="J11" i="16"/>
  <c r="J8" i="16"/>
  <c r="J6" i="16"/>
  <c r="J4" i="16"/>
  <c r="L22" i="16"/>
  <c r="L20" i="16"/>
  <c r="L18" i="16"/>
  <c r="L16" i="16"/>
  <c r="L14" i="16"/>
  <c r="L12" i="16"/>
  <c r="L10" i="16"/>
  <c r="L35" i="16"/>
  <c r="L19" i="16"/>
  <c r="L15" i="16"/>
  <c r="L11" i="16"/>
  <c r="L9" i="16"/>
  <c r="L7" i="16"/>
  <c r="L5" i="16"/>
  <c r="L3" i="16"/>
  <c r="L21" i="16"/>
  <c r="L17" i="16"/>
  <c r="L13" i="16"/>
  <c r="L8" i="16"/>
  <c r="L6" i="16"/>
  <c r="L4" i="16"/>
  <c r="N22" i="16"/>
  <c r="N20" i="16"/>
  <c r="N18" i="16"/>
  <c r="N16" i="16"/>
  <c r="N14" i="16"/>
  <c r="N12" i="16"/>
  <c r="N10" i="16"/>
  <c r="N21" i="16"/>
  <c r="N17" i="16"/>
  <c r="N13" i="16"/>
  <c r="N9" i="16"/>
  <c r="N7" i="16"/>
  <c r="N5" i="16"/>
  <c r="N3" i="16"/>
  <c r="N35" i="16"/>
  <c r="N19" i="16"/>
  <c r="N15" i="16"/>
  <c r="N11" i="16"/>
  <c r="N8" i="16"/>
  <c r="N6" i="16"/>
  <c r="N4" i="16"/>
  <c r="P22" i="16"/>
  <c r="P20" i="16"/>
  <c r="P18" i="16"/>
  <c r="P16" i="16"/>
  <c r="P14" i="16"/>
  <c r="P12" i="16"/>
  <c r="P10" i="16"/>
  <c r="P35" i="16"/>
  <c r="P19" i="16"/>
  <c r="P15" i="16"/>
  <c r="P11" i="16"/>
  <c r="P7" i="16"/>
  <c r="P5" i="16"/>
  <c r="P3" i="16"/>
  <c r="P21" i="16"/>
  <c r="P17" i="16"/>
  <c r="P13" i="16"/>
  <c r="P9" i="16"/>
  <c r="P8" i="16"/>
  <c r="P6" i="16"/>
  <c r="P4" i="16"/>
  <c r="K35" i="16"/>
  <c r="K21" i="16"/>
  <c r="K19" i="16"/>
  <c r="K17" i="16"/>
  <c r="K15" i="16"/>
  <c r="K13" i="16"/>
  <c r="K11" i="16"/>
  <c r="M35" i="16"/>
  <c r="M21" i="16"/>
  <c r="M19" i="16"/>
  <c r="M17" i="16"/>
  <c r="M15" i="16"/>
  <c r="M13" i="16"/>
  <c r="M11" i="16"/>
  <c r="O35" i="16"/>
  <c r="O21" i="16"/>
  <c r="O19" i="16"/>
  <c r="O17" i="16"/>
  <c r="O15" i="16"/>
  <c r="O13" i="16"/>
  <c r="O11" i="16"/>
  <c r="O9" i="16"/>
  <c r="Q35" i="16"/>
  <c r="Q21" i="16"/>
  <c r="Q19" i="16"/>
  <c r="Q17" i="16"/>
  <c r="Q15" i="16"/>
  <c r="Q13" i="16"/>
  <c r="Q11" i="16"/>
  <c r="Q9" i="16"/>
  <c r="J22" i="15"/>
  <c r="J20" i="15"/>
  <c r="J18" i="15"/>
  <c r="J16" i="15"/>
  <c r="J14" i="15"/>
  <c r="J12" i="15"/>
  <c r="J10" i="15"/>
  <c r="J21" i="15"/>
  <c r="J17" i="15"/>
  <c r="J13" i="15"/>
  <c r="J9" i="15"/>
  <c r="J7" i="15"/>
  <c r="J5" i="15"/>
  <c r="J3" i="15"/>
  <c r="J35" i="15"/>
  <c r="J19" i="15"/>
  <c r="J15" i="15"/>
  <c r="J11" i="15"/>
  <c r="J8" i="15"/>
  <c r="J6" i="15"/>
  <c r="J4" i="15"/>
  <c r="L22" i="15"/>
  <c r="L20" i="15"/>
  <c r="L18" i="15"/>
  <c r="L16" i="15"/>
  <c r="L14" i="15"/>
  <c r="L12" i="15"/>
  <c r="L10" i="15"/>
  <c r="L35" i="15"/>
  <c r="L19" i="15"/>
  <c r="L15" i="15"/>
  <c r="L11" i="15"/>
  <c r="L9" i="15"/>
  <c r="L7" i="15"/>
  <c r="L5" i="15"/>
  <c r="L3" i="15"/>
  <c r="L21" i="15"/>
  <c r="L17" i="15"/>
  <c r="L13" i="15"/>
  <c r="L8" i="15"/>
  <c r="L6" i="15"/>
  <c r="L4" i="15"/>
  <c r="N22" i="15"/>
  <c r="N20" i="15"/>
  <c r="N18" i="15"/>
  <c r="N16" i="15"/>
  <c r="N14" i="15"/>
  <c r="N12" i="15"/>
  <c r="N10" i="15"/>
  <c r="N21" i="15"/>
  <c r="N17" i="15"/>
  <c r="N13" i="15"/>
  <c r="N9" i="15"/>
  <c r="N7" i="15"/>
  <c r="N5" i="15"/>
  <c r="N3" i="15"/>
  <c r="N35" i="15"/>
  <c r="N19" i="15"/>
  <c r="N15" i="15"/>
  <c r="N11" i="15"/>
  <c r="N8" i="15"/>
  <c r="N6" i="15"/>
  <c r="N4" i="15"/>
  <c r="P22" i="15"/>
  <c r="P20" i="15"/>
  <c r="P18" i="15"/>
  <c r="P16" i="15"/>
  <c r="P14" i="15"/>
  <c r="P12" i="15"/>
  <c r="P10" i="15"/>
  <c r="P35" i="15"/>
  <c r="P19" i="15"/>
  <c r="P15" i="15"/>
  <c r="P11" i="15"/>
  <c r="P7" i="15"/>
  <c r="P5" i="15"/>
  <c r="P3" i="15"/>
  <c r="P21" i="15"/>
  <c r="P17" i="15"/>
  <c r="P13" i="15"/>
  <c r="P9" i="15"/>
  <c r="P8" i="15"/>
  <c r="P6" i="15"/>
  <c r="P4" i="15"/>
  <c r="K35" i="15"/>
  <c r="K21" i="15"/>
  <c r="K19" i="15"/>
  <c r="K17" i="15"/>
  <c r="K15" i="15"/>
  <c r="K13" i="15"/>
  <c r="K11" i="15"/>
  <c r="M35" i="15"/>
  <c r="M21" i="15"/>
  <c r="M19" i="15"/>
  <c r="M17" i="15"/>
  <c r="M15" i="15"/>
  <c r="M13" i="15"/>
  <c r="M11" i="15"/>
  <c r="O35" i="15"/>
  <c r="O21" i="15"/>
  <c r="O19" i="15"/>
  <c r="O17" i="15"/>
  <c r="O15" i="15"/>
  <c r="O13" i="15"/>
  <c r="O11" i="15"/>
  <c r="O9" i="15"/>
  <c r="Q35" i="15"/>
  <c r="Q21" i="15"/>
  <c r="Q19" i="15"/>
  <c r="Q17" i="15"/>
  <c r="Q15" i="15"/>
  <c r="Q13" i="15"/>
  <c r="Q11" i="15"/>
  <c r="Q9" i="15"/>
  <c r="S3" i="14"/>
  <c r="T3" i="14" s="1"/>
  <c r="S4" i="14"/>
  <c r="T4" i="14" s="1"/>
  <c r="S5" i="14"/>
  <c r="T5" i="14" s="1"/>
  <c r="S6" i="14"/>
  <c r="T6" i="14" s="1"/>
  <c r="S7" i="14"/>
  <c r="T7" i="14" s="1"/>
  <c r="S8" i="14"/>
  <c r="T8" i="14" s="1"/>
  <c r="J22" i="14"/>
  <c r="J20" i="14"/>
  <c r="J18" i="14"/>
  <c r="J35" i="14"/>
  <c r="J21" i="14"/>
  <c r="J19" i="14"/>
  <c r="J17" i="14"/>
  <c r="J15" i="14"/>
  <c r="J13" i="14"/>
  <c r="J11" i="14"/>
  <c r="L22" i="14"/>
  <c r="L20" i="14"/>
  <c r="L18" i="14"/>
  <c r="L35" i="14"/>
  <c r="L21" i="14"/>
  <c r="L19" i="14"/>
  <c r="L17" i="14"/>
  <c r="L15" i="14"/>
  <c r="L13" i="14"/>
  <c r="L11" i="14"/>
  <c r="N22" i="14"/>
  <c r="N20" i="14"/>
  <c r="N18" i="14"/>
  <c r="N16" i="14"/>
  <c r="N35" i="14"/>
  <c r="N21" i="14"/>
  <c r="N19" i="14"/>
  <c r="N17" i="14"/>
  <c r="N15" i="14"/>
  <c r="N13" i="14"/>
  <c r="N11" i="14"/>
  <c r="N9" i="14"/>
  <c r="P22" i="14"/>
  <c r="P20" i="14"/>
  <c r="P18" i="14"/>
  <c r="P16" i="14"/>
  <c r="P35" i="14"/>
  <c r="P21" i="14"/>
  <c r="P19" i="14"/>
  <c r="P17" i="14"/>
  <c r="P15" i="14"/>
  <c r="P13" i="14"/>
  <c r="P11" i="14"/>
  <c r="P9" i="14"/>
  <c r="K35" i="14"/>
  <c r="K21" i="14"/>
  <c r="K19" i="14"/>
  <c r="K17" i="14"/>
  <c r="K22" i="14"/>
  <c r="K20" i="14"/>
  <c r="K18" i="14"/>
  <c r="K16" i="14"/>
  <c r="K14" i="14"/>
  <c r="K12" i="14"/>
  <c r="K10" i="14"/>
  <c r="M35" i="14"/>
  <c r="M21" i="14"/>
  <c r="M19" i="14"/>
  <c r="M17" i="14"/>
  <c r="M22" i="14"/>
  <c r="M20" i="14"/>
  <c r="M18" i="14"/>
  <c r="M16" i="14"/>
  <c r="M14" i="14"/>
  <c r="M12" i="14"/>
  <c r="M10" i="14"/>
  <c r="O35" i="14"/>
  <c r="O21" i="14"/>
  <c r="O19" i="14"/>
  <c r="O17" i="14"/>
  <c r="O22" i="14"/>
  <c r="O20" i="14"/>
  <c r="O18" i="14"/>
  <c r="O16" i="14"/>
  <c r="O14" i="14"/>
  <c r="O12" i="14"/>
  <c r="O10" i="14"/>
  <c r="Q35" i="14"/>
  <c r="Q21" i="14"/>
  <c r="Q19" i="14"/>
  <c r="Q17" i="14"/>
  <c r="Q22" i="14"/>
  <c r="Q20" i="14"/>
  <c r="Q18" i="14"/>
  <c r="Q16" i="14"/>
  <c r="Q14" i="14"/>
  <c r="Q12" i="14"/>
  <c r="Q10" i="14"/>
  <c r="J22" i="13"/>
  <c r="J20" i="13"/>
  <c r="J18" i="13"/>
  <c r="J16" i="13"/>
  <c r="J14" i="13"/>
  <c r="J12" i="13"/>
  <c r="J10" i="13"/>
  <c r="J21" i="13"/>
  <c r="J17" i="13"/>
  <c r="J13" i="13"/>
  <c r="J9" i="13"/>
  <c r="J7" i="13"/>
  <c r="J5" i="13"/>
  <c r="J3" i="13"/>
  <c r="J35" i="13"/>
  <c r="J19" i="13"/>
  <c r="J15" i="13"/>
  <c r="J11" i="13"/>
  <c r="J8" i="13"/>
  <c r="J6" i="13"/>
  <c r="J4" i="13"/>
  <c r="L22" i="13"/>
  <c r="L20" i="13"/>
  <c r="L18" i="13"/>
  <c r="L16" i="13"/>
  <c r="L14" i="13"/>
  <c r="L12" i="13"/>
  <c r="L10" i="13"/>
  <c r="L35" i="13"/>
  <c r="L19" i="13"/>
  <c r="L15" i="13"/>
  <c r="L11" i="13"/>
  <c r="L9" i="13"/>
  <c r="L7" i="13"/>
  <c r="L5" i="13"/>
  <c r="L3" i="13"/>
  <c r="L21" i="13"/>
  <c r="L17" i="13"/>
  <c r="L13" i="13"/>
  <c r="L8" i="13"/>
  <c r="L6" i="13"/>
  <c r="L4" i="13"/>
  <c r="N22" i="13"/>
  <c r="N20" i="13"/>
  <c r="N18" i="13"/>
  <c r="N16" i="13"/>
  <c r="N14" i="13"/>
  <c r="N12" i="13"/>
  <c r="N10" i="13"/>
  <c r="N21" i="13"/>
  <c r="N17" i="13"/>
  <c r="N13" i="13"/>
  <c r="N9" i="13"/>
  <c r="N7" i="13"/>
  <c r="N5" i="13"/>
  <c r="N3" i="13"/>
  <c r="N35" i="13"/>
  <c r="N19" i="13"/>
  <c r="N15" i="13"/>
  <c r="N11" i="13"/>
  <c r="N8" i="13"/>
  <c r="N6" i="13"/>
  <c r="N4" i="13"/>
  <c r="P22" i="13"/>
  <c r="P20" i="13"/>
  <c r="P18" i="13"/>
  <c r="P16" i="13"/>
  <c r="P14" i="13"/>
  <c r="P12" i="13"/>
  <c r="P10" i="13"/>
  <c r="P35" i="13"/>
  <c r="P19" i="13"/>
  <c r="P15" i="13"/>
  <c r="P11" i="13"/>
  <c r="P7" i="13"/>
  <c r="P5" i="13"/>
  <c r="P3" i="13"/>
  <c r="P21" i="13"/>
  <c r="P17" i="13"/>
  <c r="P13" i="13"/>
  <c r="P9" i="13"/>
  <c r="P8" i="13"/>
  <c r="P6" i="13"/>
  <c r="P4" i="13"/>
  <c r="K35" i="13"/>
  <c r="K21" i="13"/>
  <c r="K19" i="13"/>
  <c r="K17" i="13"/>
  <c r="K15" i="13"/>
  <c r="K13" i="13"/>
  <c r="K11" i="13"/>
  <c r="M35" i="13"/>
  <c r="M21" i="13"/>
  <c r="M19" i="13"/>
  <c r="M17" i="13"/>
  <c r="M15" i="13"/>
  <c r="M13" i="13"/>
  <c r="M11" i="13"/>
  <c r="O35" i="13"/>
  <c r="O21" i="13"/>
  <c r="O19" i="13"/>
  <c r="O17" i="13"/>
  <c r="O15" i="13"/>
  <c r="O13" i="13"/>
  <c r="O11" i="13"/>
  <c r="O9" i="13"/>
  <c r="Q35" i="13"/>
  <c r="Q21" i="13"/>
  <c r="Q19" i="13"/>
  <c r="Q17" i="13"/>
  <c r="Q15" i="13"/>
  <c r="Q13" i="13"/>
  <c r="Q11" i="13"/>
  <c r="Q9" i="13"/>
  <c r="S3" i="12"/>
  <c r="T3" i="12" s="1"/>
  <c r="S5" i="12"/>
  <c r="T5" i="12" s="1"/>
  <c r="S7" i="12"/>
  <c r="T7" i="12" s="1"/>
  <c r="J22" i="12"/>
  <c r="J20" i="12"/>
  <c r="J18" i="12"/>
  <c r="J16" i="12"/>
  <c r="J14" i="12"/>
  <c r="J12" i="12"/>
  <c r="J10" i="12"/>
  <c r="J35" i="12"/>
  <c r="J21" i="12"/>
  <c r="J19" i="12"/>
  <c r="J17" i="12"/>
  <c r="J15" i="12"/>
  <c r="J13" i="12"/>
  <c r="J11" i="12"/>
  <c r="L22" i="12"/>
  <c r="L20" i="12"/>
  <c r="L18" i="12"/>
  <c r="L16" i="12"/>
  <c r="L14" i="12"/>
  <c r="L12" i="12"/>
  <c r="L10" i="12"/>
  <c r="L35" i="12"/>
  <c r="L21" i="12"/>
  <c r="L19" i="12"/>
  <c r="L17" i="12"/>
  <c r="L15" i="12"/>
  <c r="L13" i="12"/>
  <c r="L11" i="12"/>
  <c r="N22" i="12"/>
  <c r="N20" i="12"/>
  <c r="N18" i="12"/>
  <c r="N16" i="12"/>
  <c r="N14" i="12"/>
  <c r="N12" i="12"/>
  <c r="N10" i="12"/>
  <c r="N35" i="12"/>
  <c r="N21" i="12"/>
  <c r="N19" i="12"/>
  <c r="N17" i="12"/>
  <c r="N15" i="12"/>
  <c r="N13" i="12"/>
  <c r="N11" i="12"/>
  <c r="N9" i="12"/>
  <c r="P22" i="12"/>
  <c r="P20" i="12"/>
  <c r="P18" i="12"/>
  <c r="P16" i="12"/>
  <c r="P14" i="12"/>
  <c r="P12" i="12"/>
  <c r="P10" i="12"/>
  <c r="P35" i="12"/>
  <c r="P21" i="12"/>
  <c r="P19" i="12"/>
  <c r="P17" i="12"/>
  <c r="P15" i="12"/>
  <c r="P13" i="12"/>
  <c r="P11" i="12"/>
  <c r="P9" i="12"/>
  <c r="J4" i="12"/>
  <c r="L4" i="12"/>
  <c r="N4" i="12"/>
  <c r="P4" i="12"/>
  <c r="J6" i="12"/>
  <c r="L6" i="12"/>
  <c r="N6" i="12"/>
  <c r="P6" i="12"/>
  <c r="J8" i="12"/>
  <c r="L8" i="12"/>
  <c r="N8" i="12"/>
  <c r="P8" i="12"/>
  <c r="K35" i="12"/>
  <c r="K21" i="12"/>
  <c r="K19" i="12"/>
  <c r="K17" i="12"/>
  <c r="K15" i="12"/>
  <c r="K13" i="12"/>
  <c r="K11" i="12"/>
  <c r="K22" i="12"/>
  <c r="K20" i="12"/>
  <c r="K18" i="12"/>
  <c r="K16" i="12"/>
  <c r="K14" i="12"/>
  <c r="K12" i="12"/>
  <c r="K10" i="12"/>
  <c r="M35" i="12"/>
  <c r="M21" i="12"/>
  <c r="M19" i="12"/>
  <c r="M17" i="12"/>
  <c r="M15" i="12"/>
  <c r="M13" i="12"/>
  <c r="M11" i="12"/>
  <c r="M22" i="12"/>
  <c r="M20" i="12"/>
  <c r="M18" i="12"/>
  <c r="M16" i="12"/>
  <c r="M14" i="12"/>
  <c r="M12" i="12"/>
  <c r="M10" i="12"/>
  <c r="O35" i="12"/>
  <c r="O21" i="12"/>
  <c r="O19" i="12"/>
  <c r="O17" i="12"/>
  <c r="O15" i="12"/>
  <c r="O13" i="12"/>
  <c r="O11" i="12"/>
  <c r="O9" i="12"/>
  <c r="O22" i="12"/>
  <c r="O20" i="12"/>
  <c r="O18" i="12"/>
  <c r="O16" i="12"/>
  <c r="O14" i="12"/>
  <c r="O12" i="12"/>
  <c r="O10" i="12"/>
  <c r="Q35" i="12"/>
  <c r="Q21" i="12"/>
  <c r="Q19" i="12"/>
  <c r="Q17" i="12"/>
  <c r="Q15" i="12"/>
  <c r="Q13" i="12"/>
  <c r="Q11" i="12"/>
  <c r="Q9" i="12"/>
  <c r="Q22" i="12"/>
  <c r="Q20" i="12"/>
  <c r="Q18" i="12"/>
  <c r="Q16" i="12"/>
  <c r="Q14" i="12"/>
  <c r="Q12" i="12"/>
  <c r="Q10" i="12"/>
  <c r="H27" i="11"/>
  <c r="G27" i="11"/>
  <c r="F27" i="11"/>
  <c r="E27" i="11"/>
  <c r="D27" i="11"/>
  <c r="C27" i="11"/>
  <c r="B27" i="11"/>
  <c r="A27" i="11"/>
  <c r="H26" i="11"/>
  <c r="H31" i="11" s="1"/>
  <c r="G26" i="11"/>
  <c r="G31" i="11" s="1"/>
  <c r="F26" i="11"/>
  <c r="F31" i="11" s="1"/>
  <c r="E26" i="11"/>
  <c r="E31" i="11" s="1"/>
  <c r="D26" i="11"/>
  <c r="D31" i="11" s="1"/>
  <c r="C26" i="11"/>
  <c r="C31" i="11" s="1"/>
  <c r="B26" i="11"/>
  <c r="B31" i="11" s="1"/>
  <c r="A26" i="11"/>
  <c r="A31" i="11" s="1"/>
  <c r="Q22" i="11"/>
  <c r="O22" i="11"/>
  <c r="M22" i="11"/>
  <c r="K22" i="11"/>
  <c r="Q20" i="11"/>
  <c r="O20" i="11"/>
  <c r="M20" i="11"/>
  <c r="K20" i="11"/>
  <c r="Q18" i="11"/>
  <c r="O18" i="11"/>
  <c r="M18" i="11"/>
  <c r="K18" i="11"/>
  <c r="Q16" i="11"/>
  <c r="O16" i="11"/>
  <c r="M16" i="11"/>
  <c r="K16" i="11"/>
  <c r="Q14" i="11"/>
  <c r="O14" i="11"/>
  <c r="M14" i="11"/>
  <c r="K14" i="11"/>
  <c r="Q12" i="11"/>
  <c r="O12" i="11"/>
  <c r="M12" i="11"/>
  <c r="K12" i="11"/>
  <c r="Q10" i="11"/>
  <c r="O10" i="11"/>
  <c r="M10" i="11"/>
  <c r="K10" i="11"/>
  <c r="M9" i="11"/>
  <c r="K9" i="11"/>
  <c r="Q8" i="11"/>
  <c r="O8" i="11"/>
  <c r="M8" i="11"/>
  <c r="K8" i="11"/>
  <c r="Q7" i="11"/>
  <c r="O7" i="11"/>
  <c r="M7" i="11"/>
  <c r="K7" i="11"/>
  <c r="Q6" i="11"/>
  <c r="O6" i="11"/>
  <c r="M6" i="11"/>
  <c r="K6" i="11"/>
  <c r="Q5" i="11"/>
  <c r="O5" i="11"/>
  <c r="M5" i="11"/>
  <c r="K5" i="11"/>
  <c r="Q4" i="11"/>
  <c r="O4" i="11"/>
  <c r="M4" i="11"/>
  <c r="K4" i="11"/>
  <c r="Q3" i="11"/>
  <c r="O3" i="11"/>
  <c r="M3" i="11"/>
  <c r="K3" i="11"/>
  <c r="S35" i="2"/>
  <c r="H27" i="2"/>
  <c r="B26" i="2"/>
  <c r="C26" i="2"/>
  <c r="D26" i="2"/>
  <c r="E26" i="2"/>
  <c r="F26" i="2"/>
  <c r="G26" i="2"/>
  <c r="H26" i="2"/>
  <c r="B27" i="2"/>
  <c r="C27" i="2"/>
  <c r="D27" i="2"/>
  <c r="E27" i="2"/>
  <c r="F27" i="2"/>
  <c r="G27" i="2"/>
  <c r="A27" i="2"/>
  <c r="A26" i="2"/>
  <c r="R12" i="14" l="1"/>
  <c r="R16" i="14"/>
  <c r="R9" i="14"/>
  <c r="R10" i="14"/>
  <c r="R14" i="14"/>
  <c r="R6" i="18"/>
  <c r="R11" i="18"/>
  <c r="R19" i="18"/>
  <c r="R3" i="18"/>
  <c r="R7" i="18"/>
  <c r="R13" i="18"/>
  <c r="R21" i="18"/>
  <c r="R12" i="18"/>
  <c r="R16" i="18"/>
  <c r="R20" i="18"/>
  <c r="R4" i="18"/>
  <c r="R8" i="18"/>
  <c r="R15" i="18"/>
  <c r="R35" i="18"/>
  <c r="R5" i="18"/>
  <c r="R9" i="18"/>
  <c r="R17" i="18"/>
  <c r="R10" i="18"/>
  <c r="R14" i="18"/>
  <c r="R18" i="18"/>
  <c r="R22" i="18"/>
  <c r="R6" i="17"/>
  <c r="R11" i="17"/>
  <c r="R19" i="17"/>
  <c r="R3" i="17"/>
  <c r="R7" i="17"/>
  <c r="R13" i="17"/>
  <c r="R21" i="17"/>
  <c r="R12" i="17"/>
  <c r="R16" i="17"/>
  <c r="R20" i="17"/>
  <c r="R4" i="17"/>
  <c r="R8" i="17"/>
  <c r="R15" i="17"/>
  <c r="R35" i="17"/>
  <c r="R5" i="17"/>
  <c r="R9" i="17"/>
  <c r="R17" i="17"/>
  <c r="R10" i="17"/>
  <c r="R14" i="17"/>
  <c r="R18" i="17"/>
  <c r="R22" i="17"/>
  <c r="R6" i="16"/>
  <c r="R11" i="16"/>
  <c r="R19" i="16"/>
  <c r="R3" i="16"/>
  <c r="R7" i="16"/>
  <c r="R13" i="16"/>
  <c r="R21" i="16"/>
  <c r="R12" i="16"/>
  <c r="R16" i="16"/>
  <c r="R20" i="16"/>
  <c r="R4" i="16"/>
  <c r="R8" i="16"/>
  <c r="R15" i="16"/>
  <c r="R35" i="16"/>
  <c r="R5" i="16"/>
  <c r="R9" i="16"/>
  <c r="R17" i="16"/>
  <c r="R10" i="16"/>
  <c r="R14" i="16"/>
  <c r="R18" i="16"/>
  <c r="R22" i="16"/>
  <c r="R6" i="15"/>
  <c r="R11" i="15"/>
  <c r="R19" i="15"/>
  <c r="R3" i="15"/>
  <c r="R7" i="15"/>
  <c r="R13" i="15"/>
  <c r="R21" i="15"/>
  <c r="R12" i="15"/>
  <c r="R16" i="15"/>
  <c r="R20" i="15"/>
  <c r="R4" i="15"/>
  <c r="R8" i="15"/>
  <c r="R15" i="15"/>
  <c r="R35" i="15"/>
  <c r="R5" i="15"/>
  <c r="R9" i="15"/>
  <c r="R17" i="15"/>
  <c r="R10" i="15"/>
  <c r="R14" i="15"/>
  <c r="R18" i="15"/>
  <c r="R22" i="15"/>
  <c r="S10" i="14"/>
  <c r="T10" i="14" s="1"/>
  <c r="S14" i="14"/>
  <c r="T14" i="14" s="1"/>
  <c r="S12" i="14"/>
  <c r="T12" i="14" s="1"/>
  <c r="S16" i="14"/>
  <c r="T16" i="14" s="1"/>
  <c r="S9" i="14"/>
  <c r="T9" i="14" s="1"/>
  <c r="R13" i="14"/>
  <c r="R17" i="14"/>
  <c r="R21" i="14"/>
  <c r="R18" i="14"/>
  <c r="R22" i="14"/>
  <c r="R11" i="14"/>
  <c r="R15" i="14"/>
  <c r="R19" i="14"/>
  <c r="R35" i="14"/>
  <c r="R20" i="14"/>
  <c r="R6" i="13"/>
  <c r="R11" i="13"/>
  <c r="R19" i="13"/>
  <c r="R3" i="13"/>
  <c r="R7" i="13"/>
  <c r="R13" i="13"/>
  <c r="R21" i="13"/>
  <c r="R12" i="13"/>
  <c r="R16" i="13"/>
  <c r="R20" i="13"/>
  <c r="R4" i="13"/>
  <c r="R8" i="13"/>
  <c r="R15" i="13"/>
  <c r="R35" i="13"/>
  <c r="R5" i="13"/>
  <c r="R9" i="13"/>
  <c r="R17" i="13"/>
  <c r="R10" i="13"/>
  <c r="R14" i="13"/>
  <c r="R18" i="13"/>
  <c r="R22" i="13"/>
  <c r="R9" i="12"/>
  <c r="S9" i="12" s="1"/>
  <c r="T9" i="12" s="1"/>
  <c r="R8" i="12"/>
  <c r="R6" i="12"/>
  <c r="R4" i="12"/>
  <c r="R13" i="12"/>
  <c r="R17" i="12"/>
  <c r="R21" i="12"/>
  <c r="R10" i="12"/>
  <c r="R14" i="12"/>
  <c r="R18" i="12"/>
  <c r="R22" i="12"/>
  <c r="R11" i="12"/>
  <c r="R15" i="12"/>
  <c r="R19" i="12"/>
  <c r="R35" i="12"/>
  <c r="R12" i="12"/>
  <c r="R16" i="12"/>
  <c r="R20" i="12"/>
  <c r="J22" i="11"/>
  <c r="J20" i="11"/>
  <c r="J18" i="11"/>
  <c r="J16" i="11"/>
  <c r="J14" i="11"/>
  <c r="J12" i="11"/>
  <c r="J10" i="11"/>
  <c r="J21" i="11"/>
  <c r="J17" i="11"/>
  <c r="J13" i="11"/>
  <c r="J9" i="11"/>
  <c r="J7" i="11"/>
  <c r="J5" i="11"/>
  <c r="J3" i="11"/>
  <c r="J35" i="11"/>
  <c r="J19" i="11"/>
  <c r="J15" i="11"/>
  <c r="J11" i="11"/>
  <c r="J8" i="11"/>
  <c r="J6" i="11"/>
  <c r="J4" i="11"/>
  <c r="L22" i="11"/>
  <c r="L20" i="11"/>
  <c r="L18" i="11"/>
  <c r="L16" i="11"/>
  <c r="L14" i="11"/>
  <c r="L12" i="11"/>
  <c r="L10" i="11"/>
  <c r="L35" i="11"/>
  <c r="L19" i="11"/>
  <c r="L15" i="11"/>
  <c r="L11" i="11"/>
  <c r="L9" i="11"/>
  <c r="L7" i="11"/>
  <c r="L5" i="11"/>
  <c r="L3" i="11"/>
  <c r="L21" i="11"/>
  <c r="L17" i="11"/>
  <c r="L13" i="11"/>
  <c r="L8" i="11"/>
  <c r="L6" i="11"/>
  <c r="L4" i="11"/>
  <c r="N22" i="11"/>
  <c r="N20" i="11"/>
  <c r="N18" i="11"/>
  <c r="N16" i="11"/>
  <c r="N14" i="11"/>
  <c r="N12" i="11"/>
  <c r="N10" i="11"/>
  <c r="N21" i="11"/>
  <c r="N17" i="11"/>
  <c r="N13" i="11"/>
  <c r="N9" i="11"/>
  <c r="N7" i="11"/>
  <c r="N5" i="11"/>
  <c r="N3" i="11"/>
  <c r="N35" i="11"/>
  <c r="N19" i="11"/>
  <c r="N15" i="11"/>
  <c r="N11" i="11"/>
  <c r="N8" i="11"/>
  <c r="N6" i="11"/>
  <c r="N4" i="11"/>
  <c r="P22" i="11"/>
  <c r="P20" i="11"/>
  <c r="P18" i="11"/>
  <c r="P16" i="11"/>
  <c r="P14" i="11"/>
  <c r="P12" i="11"/>
  <c r="P10" i="11"/>
  <c r="P35" i="11"/>
  <c r="P19" i="11"/>
  <c r="P15" i="11"/>
  <c r="P11" i="11"/>
  <c r="P7" i="11"/>
  <c r="P5" i="11"/>
  <c r="P3" i="11"/>
  <c r="P21" i="11"/>
  <c r="P17" i="11"/>
  <c r="P13" i="11"/>
  <c r="P9" i="11"/>
  <c r="P8" i="11"/>
  <c r="P6" i="11"/>
  <c r="P4" i="11"/>
  <c r="K35" i="11"/>
  <c r="K21" i="11"/>
  <c r="K19" i="11"/>
  <c r="K17" i="11"/>
  <c r="K15" i="11"/>
  <c r="K13" i="11"/>
  <c r="K11" i="11"/>
  <c r="M35" i="11"/>
  <c r="M21" i="11"/>
  <c r="M19" i="11"/>
  <c r="M17" i="11"/>
  <c r="M15" i="11"/>
  <c r="M13" i="11"/>
  <c r="M11" i="11"/>
  <c r="O35" i="11"/>
  <c r="O21" i="11"/>
  <c r="O19" i="11"/>
  <c r="O17" i="11"/>
  <c r="O15" i="11"/>
  <c r="O13" i="11"/>
  <c r="O11" i="11"/>
  <c r="O9" i="11"/>
  <c r="Q35" i="11"/>
  <c r="Q21" i="11"/>
  <c r="Q19" i="11"/>
  <c r="Q17" i="11"/>
  <c r="Q15" i="11"/>
  <c r="Q13" i="11"/>
  <c r="Q11" i="11"/>
  <c r="Q9" i="11"/>
  <c r="A31" i="2"/>
  <c r="G31" i="2"/>
  <c r="E31" i="2"/>
  <c r="C31" i="2"/>
  <c r="H31" i="2"/>
  <c r="F31" i="2"/>
  <c r="D31" i="2"/>
  <c r="B31" i="2"/>
  <c r="S18" i="18" l="1"/>
  <c r="T18" i="18" s="1"/>
  <c r="S10" i="18"/>
  <c r="T10" i="18" s="1"/>
  <c r="S9" i="18"/>
  <c r="T9" i="18" s="1"/>
  <c r="S8" i="18"/>
  <c r="T8" i="18" s="1"/>
  <c r="T20" i="18"/>
  <c r="S20" i="18"/>
  <c r="T12" i="18"/>
  <c r="S12" i="18"/>
  <c r="S13" i="18"/>
  <c r="T13" i="18" s="1"/>
  <c r="S3" i="18"/>
  <c r="T3" i="18" s="1"/>
  <c r="S11" i="18"/>
  <c r="T11" i="18" s="1"/>
  <c r="S22" i="18"/>
  <c r="T22" i="18" s="1"/>
  <c r="S14" i="18"/>
  <c r="T14" i="18" s="1"/>
  <c r="S17" i="18"/>
  <c r="T17" i="18" s="1"/>
  <c r="S5" i="18"/>
  <c r="T5" i="18" s="1"/>
  <c r="S15" i="18"/>
  <c r="T15" i="18" s="1"/>
  <c r="S4" i="18"/>
  <c r="T4" i="18" s="1"/>
  <c r="S16" i="18"/>
  <c r="T16" i="18" s="1"/>
  <c r="S21" i="18"/>
  <c r="T21" i="18" s="1"/>
  <c r="S7" i="18"/>
  <c r="T7" i="18" s="1"/>
  <c r="S19" i="18"/>
  <c r="T19" i="18" s="1"/>
  <c r="S6" i="18"/>
  <c r="T6" i="18" s="1"/>
  <c r="S18" i="17"/>
  <c r="T18" i="17" s="1"/>
  <c r="S10" i="17"/>
  <c r="T10" i="17" s="1"/>
  <c r="S9" i="17"/>
  <c r="T9" i="17" s="1"/>
  <c r="S8" i="17"/>
  <c r="T8" i="17" s="1"/>
  <c r="S20" i="17"/>
  <c r="T20" i="17" s="1"/>
  <c r="S12" i="17"/>
  <c r="T12" i="17" s="1"/>
  <c r="S13" i="17"/>
  <c r="T13" i="17" s="1"/>
  <c r="S3" i="17"/>
  <c r="T3" i="17" s="1"/>
  <c r="S11" i="17"/>
  <c r="T11" i="17" s="1"/>
  <c r="S22" i="17"/>
  <c r="T22" i="17" s="1"/>
  <c r="S14" i="17"/>
  <c r="T14" i="17" s="1"/>
  <c r="S17" i="17"/>
  <c r="T17" i="17" s="1"/>
  <c r="S5" i="17"/>
  <c r="T5" i="17" s="1"/>
  <c r="S15" i="17"/>
  <c r="T15" i="17" s="1"/>
  <c r="S4" i="17"/>
  <c r="T4" i="17" s="1"/>
  <c r="S16" i="17"/>
  <c r="T16" i="17" s="1"/>
  <c r="S21" i="17"/>
  <c r="T21" i="17" s="1"/>
  <c r="S7" i="17"/>
  <c r="T7" i="17" s="1"/>
  <c r="S19" i="17"/>
  <c r="T19" i="17"/>
  <c r="S6" i="17"/>
  <c r="T6" i="17"/>
  <c r="S18" i="16"/>
  <c r="T18" i="16" s="1"/>
  <c r="S10" i="16"/>
  <c r="T10" i="16" s="1"/>
  <c r="S9" i="16"/>
  <c r="T9" i="16" s="1"/>
  <c r="S8" i="16"/>
  <c r="T8" i="16" s="1"/>
  <c r="T20" i="16"/>
  <c r="S20" i="16"/>
  <c r="T12" i="16"/>
  <c r="S12" i="16"/>
  <c r="S13" i="16"/>
  <c r="T13" i="16" s="1"/>
  <c r="S3" i="16"/>
  <c r="T3" i="16" s="1"/>
  <c r="S11" i="16"/>
  <c r="T11" i="16" s="1"/>
  <c r="S22" i="16"/>
  <c r="T22" i="16" s="1"/>
  <c r="T14" i="16"/>
  <c r="S14" i="16"/>
  <c r="S17" i="16"/>
  <c r="T17" i="16" s="1"/>
  <c r="S5" i="16"/>
  <c r="T5" i="16" s="1"/>
  <c r="S15" i="16"/>
  <c r="T15" i="16" s="1"/>
  <c r="S4" i="16"/>
  <c r="T4" i="16" s="1"/>
  <c r="S16" i="16"/>
  <c r="T16" i="16" s="1"/>
  <c r="S21" i="16"/>
  <c r="T21" i="16" s="1"/>
  <c r="T7" i="16"/>
  <c r="S7" i="16"/>
  <c r="S19" i="16"/>
  <c r="T19" i="16" s="1"/>
  <c r="S6" i="16"/>
  <c r="T6" i="16" s="1"/>
  <c r="S18" i="15"/>
  <c r="T18" i="15" s="1"/>
  <c r="S10" i="15"/>
  <c r="T10" i="15" s="1"/>
  <c r="S9" i="15"/>
  <c r="T9" i="15" s="1"/>
  <c r="S8" i="15"/>
  <c r="T8" i="15" s="1"/>
  <c r="T20" i="15"/>
  <c r="S20" i="15"/>
  <c r="T12" i="15"/>
  <c r="S12" i="15"/>
  <c r="S13" i="15"/>
  <c r="T13" i="15" s="1"/>
  <c r="S3" i="15"/>
  <c r="T3" i="15" s="1"/>
  <c r="S11" i="15"/>
  <c r="T11" i="15" s="1"/>
  <c r="S22" i="15"/>
  <c r="T22" i="15" s="1"/>
  <c r="S14" i="15"/>
  <c r="T14" i="15" s="1"/>
  <c r="S17" i="15"/>
  <c r="T17" i="15" s="1"/>
  <c r="S5" i="15"/>
  <c r="T5" i="15" s="1"/>
  <c r="S15" i="15"/>
  <c r="T15" i="15" s="1"/>
  <c r="S4" i="15"/>
  <c r="T4" i="15" s="1"/>
  <c r="S16" i="15"/>
  <c r="T16" i="15" s="1"/>
  <c r="S21" i="15"/>
  <c r="T21" i="15" s="1"/>
  <c r="S7" i="15"/>
  <c r="T7" i="15" s="1"/>
  <c r="S19" i="15"/>
  <c r="T19" i="15" s="1"/>
  <c r="S6" i="15"/>
  <c r="T6" i="15" s="1"/>
  <c r="S20" i="14"/>
  <c r="T20" i="14" s="1"/>
  <c r="S19" i="14"/>
  <c r="T19" i="14" s="1"/>
  <c r="S11" i="14"/>
  <c r="T11" i="14" s="1"/>
  <c r="S18" i="14"/>
  <c r="T18" i="14" s="1"/>
  <c r="S17" i="14"/>
  <c r="T17" i="14"/>
  <c r="S15" i="14"/>
  <c r="T15" i="14" s="1"/>
  <c r="S22" i="14"/>
  <c r="T22" i="14" s="1"/>
  <c r="S21" i="14"/>
  <c r="T21" i="14" s="1"/>
  <c r="S13" i="14"/>
  <c r="T13" i="14" s="1"/>
  <c r="S18" i="13"/>
  <c r="T18" i="13" s="1"/>
  <c r="S10" i="13"/>
  <c r="T10" i="13" s="1"/>
  <c r="S9" i="13"/>
  <c r="T9" i="13" s="1"/>
  <c r="S8" i="13"/>
  <c r="T8" i="13" s="1"/>
  <c r="T20" i="13"/>
  <c r="S20" i="13"/>
  <c r="T12" i="13"/>
  <c r="S12" i="13"/>
  <c r="S13" i="13"/>
  <c r="T13" i="13" s="1"/>
  <c r="S3" i="13"/>
  <c r="T3" i="13" s="1"/>
  <c r="S11" i="13"/>
  <c r="T11" i="13" s="1"/>
  <c r="S22" i="13"/>
  <c r="T22" i="13" s="1"/>
  <c r="T14" i="13"/>
  <c r="S14" i="13"/>
  <c r="S17" i="13"/>
  <c r="T17" i="13" s="1"/>
  <c r="S5" i="13"/>
  <c r="T5" i="13" s="1"/>
  <c r="S15" i="13"/>
  <c r="T15" i="13" s="1"/>
  <c r="S4" i="13"/>
  <c r="T4" i="13" s="1"/>
  <c r="S16" i="13"/>
  <c r="T16" i="13" s="1"/>
  <c r="S21" i="13"/>
  <c r="T21" i="13" s="1"/>
  <c r="T7" i="13"/>
  <c r="S7" i="13"/>
  <c r="S19" i="13"/>
  <c r="T19" i="13" s="1"/>
  <c r="S6" i="13"/>
  <c r="T6" i="13" s="1"/>
  <c r="S16" i="12"/>
  <c r="T16" i="12" s="1"/>
  <c r="S15" i="12"/>
  <c r="T15" i="12" s="1"/>
  <c r="S22" i="12"/>
  <c r="T22" i="12" s="1"/>
  <c r="S14" i="12"/>
  <c r="T14" i="12" s="1"/>
  <c r="S21" i="12"/>
  <c r="T21" i="12" s="1"/>
  <c r="S13" i="12"/>
  <c r="T13" i="12" s="1"/>
  <c r="S6" i="12"/>
  <c r="T6" i="12" s="1"/>
  <c r="S20" i="12"/>
  <c r="T20" i="12" s="1"/>
  <c r="S12" i="12"/>
  <c r="T12" i="12" s="1"/>
  <c r="S19" i="12"/>
  <c r="T19" i="12" s="1"/>
  <c r="S11" i="12"/>
  <c r="T11" i="12" s="1"/>
  <c r="S18" i="12"/>
  <c r="T18" i="12" s="1"/>
  <c r="S10" i="12"/>
  <c r="T10" i="12" s="1"/>
  <c r="S17" i="12"/>
  <c r="T17" i="12" s="1"/>
  <c r="S4" i="12"/>
  <c r="T4" i="12" s="1"/>
  <c r="T8" i="12"/>
  <c r="S8" i="12"/>
  <c r="R6" i="11"/>
  <c r="R11" i="11"/>
  <c r="R19" i="11"/>
  <c r="R3" i="11"/>
  <c r="R7" i="11"/>
  <c r="R13" i="11"/>
  <c r="R21" i="11"/>
  <c r="R12" i="11"/>
  <c r="R16" i="11"/>
  <c r="R20" i="11"/>
  <c r="R4" i="11"/>
  <c r="R8" i="11"/>
  <c r="R15" i="11"/>
  <c r="R35" i="11"/>
  <c r="R5" i="11"/>
  <c r="R9" i="11"/>
  <c r="R17" i="11"/>
  <c r="R10" i="11"/>
  <c r="R14" i="11"/>
  <c r="R18" i="11"/>
  <c r="R22" i="11"/>
  <c r="M22" i="2"/>
  <c r="M20" i="2"/>
  <c r="M18" i="2"/>
  <c r="M16" i="2"/>
  <c r="M14" i="2"/>
  <c r="M12" i="2"/>
  <c r="M10" i="2"/>
  <c r="M8" i="2"/>
  <c r="M6" i="2"/>
  <c r="M4" i="2"/>
  <c r="M21" i="2"/>
  <c r="M17" i="2"/>
  <c r="M13" i="2"/>
  <c r="M9" i="2"/>
  <c r="M5" i="2"/>
  <c r="M19" i="2"/>
  <c r="M15" i="2"/>
  <c r="M11" i="2"/>
  <c r="M7" i="2"/>
  <c r="M3" i="2"/>
  <c r="Q22" i="2"/>
  <c r="Q20" i="2"/>
  <c r="Q18" i="2"/>
  <c r="Q16" i="2"/>
  <c r="Q14" i="2"/>
  <c r="Q12" i="2"/>
  <c r="Q10" i="2"/>
  <c r="Q8" i="2"/>
  <c r="Q6" i="2"/>
  <c r="Q4" i="2"/>
  <c r="Q21" i="2"/>
  <c r="Q17" i="2"/>
  <c r="Q13" i="2"/>
  <c r="Q9" i="2"/>
  <c r="Q5" i="2"/>
  <c r="Q19" i="2"/>
  <c r="Q15" i="2"/>
  <c r="Q11" i="2"/>
  <c r="Q7" i="2"/>
  <c r="Q3" i="2"/>
  <c r="N21" i="2"/>
  <c r="N19" i="2"/>
  <c r="N17" i="2"/>
  <c r="N15" i="2"/>
  <c r="N13" i="2"/>
  <c r="N11" i="2"/>
  <c r="N9" i="2"/>
  <c r="N7" i="2"/>
  <c r="N5" i="2"/>
  <c r="N3" i="2"/>
  <c r="N22" i="2"/>
  <c r="N18" i="2"/>
  <c r="N14" i="2"/>
  <c r="N10" i="2"/>
  <c r="N6" i="2"/>
  <c r="N20" i="2"/>
  <c r="N16" i="2"/>
  <c r="N12" i="2"/>
  <c r="N8" i="2"/>
  <c r="N4" i="2"/>
  <c r="J22" i="2"/>
  <c r="J20" i="2"/>
  <c r="R20" i="2" s="1"/>
  <c r="J18" i="2"/>
  <c r="J16" i="2"/>
  <c r="J14" i="2"/>
  <c r="J12" i="2"/>
  <c r="R12" i="2" s="1"/>
  <c r="S12" i="2" s="1"/>
  <c r="T12" i="2" s="1"/>
  <c r="J10" i="2"/>
  <c r="J8" i="2"/>
  <c r="J6" i="2"/>
  <c r="J4" i="2"/>
  <c r="R4" i="2" s="1"/>
  <c r="S4" i="2" s="1"/>
  <c r="T4" i="2" s="1"/>
  <c r="J19" i="2"/>
  <c r="J15" i="2"/>
  <c r="J11" i="2"/>
  <c r="J7" i="2"/>
  <c r="J21" i="2"/>
  <c r="J17" i="2"/>
  <c r="J13" i="2"/>
  <c r="J9" i="2"/>
  <c r="J5" i="2"/>
  <c r="K22" i="2"/>
  <c r="K20" i="2"/>
  <c r="K18" i="2"/>
  <c r="K16" i="2"/>
  <c r="K14" i="2"/>
  <c r="K12" i="2"/>
  <c r="K10" i="2"/>
  <c r="K8" i="2"/>
  <c r="K6" i="2"/>
  <c r="K4" i="2"/>
  <c r="K19" i="2"/>
  <c r="K15" i="2"/>
  <c r="K11" i="2"/>
  <c r="K7" i="2"/>
  <c r="K3" i="2"/>
  <c r="K21" i="2"/>
  <c r="K17" i="2"/>
  <c r="K13" i="2"/>
  <c r="K9" i="2"/>
  <c r="K5" i="2"/>
  <c r="O22" i="2"/>
  <c r="O20" i="2"/>
  <c r="O18" i="2"/>
  <c r="O16" i="2"/>
  <c r="O14" i="2"/>
  <c r="O12" i="2"/>
  <c r="O10" i="2"/>
  <c r="O8" i="2"/>
  <c r="O6" i="2"/>
  <c r="O4" i="2"/>
  <c r="O21" i="2"/>
  <c r="O19" i="2"/>
  <c r="O15" i="2"/>
  <c r="O11" i="2"/>
  <c r="O7" i="2"/>
  <c r="O3" i="2"/>
  <c r="O17" i="2"/>
  <c r="O13" i="2"/>
  <c r="O9" i="2"/>
  <c r="O5" i="2"/>
  <c r="L21" i="2"/>
  <c r="L19" i="2"/>
  <c r="L17" i="2"/>
  <c r="L15" i="2"/>
  <c r="L13" i="2"/>
  <c r="L11" i="2"/>
  <c r="L9" i="2"/>
  <c r="L7" i="2"/>
  <c r="L5" i="2"/>
  <c r="L3" i="2"/>
  <c r="L22" i="2"/>
  <c r="L20" i="2"/>
  <c r="L16" i="2"/>
  <c r="L12" i="2"/>
  <c r="L8" i="2"/>
  <c r="L4" i="2"/>
  <c r="L18" i="2"/>
  <c r="L14" i="2"/>
  <c r="L10" i="2"/>
  <c r="L6" i="2"/>
  <c r="P21" i="2"/>
  <c r="P19" i="2"/>
  <c r="P17" i="2"/>
  <c r="P15" i="2"/>
  <c r="P13" i="2"/>
  <c r="P11" i="2"/>
  <c r="P9" i="2"/>
  <c r="P7" i="2"/>
  <c r="P5" i="2"/>
  <c r="P3" i="2"/>
  <c r="P22" i="2"/>
  <c r="P20" i="2"/>
  <c r="P16" i="2"/>
  <c r="P12" i="2"/>
  <c r="P8" i="2"/>
  <c r="P4" i="2"/>
  <c r="P18" i="2"/>
  <c r="P14" i="2"/>
  <c r="P10" i="2"/>
  <c r="P6" i="2"/>
  <c r="K35" i="2"/>
  <c r="O35" i="2"/>
  <c r="L35" i="2"/>
  <c r="P35" i="2"/>
  <c r="M35" i="2"/>
  <c r="N35" i="2"/>
  <c r="J3" i="2"/>
  <c r="J35" i="2"/>
  <c r="R3" i="2"/>
  <c r="Q35" i="2"/>
  <c r="S20" i="2"/>
  <c r="T20" i="2" s="1"/>
  <c r="S35" i="18" l="1"/>
  <c r="U35" i="18" s="1"/>
  <c r="V35" i="18" s="1"/>
  <c r="S35" i="17"/>
  <c r="U35" i="17" s="1"/>
  <c r="V35" i="17" s="1"/>
  <c r="S35" i="16"/>
  <c r="U35" i="16" s="1"/>
  <c r="V35" i="16" s="1"/>
  <c r="S35" i="15"/>
  <c r="U35" i="15" s="1"/>
  <c r="V35" i="15" s="1"/>
  <c r="S35" i="14"/>
  <c r="U35" i="14" s="1"/>
  <c r="V35" i="14" s="1"/>
  <c r="S35" i="13"/>
  <c r="U35" i="13" s="1"/>
  <c r="V35" i="13" s="1"/>
  <c r="S35" i="12"/>
  <c r="U35" i="12" s="1"/>
  <c r="V35" i="12" s="1"/>
  <c r="S18" i="11"/>
  <c r="T18" i="11" s="1"/>
  <c r="S10" i="11"/>
  <c r="T10" i="11" s="1"/>
  <c r="S9" i="11"/>
  <c r="T9" i="11"/>
  <c r="S8" i="11"/>
  <c r="T8" i="11" s="1"/>
  <c r="T20" i="11"/>
  <c r="S20" i="11"/>
  <c r="T12" i="11"/>
  <c r="S12" i="11"/>
  <c r="S13" i="11"/>
  <c r="T13" i="11" s="1"/>
  <c r="S3" i="11"/>
  <c r="T3" i="11" s="1"/>
  <c r="S11" i="11"/>
  <c r="T11" i="11" s="1"/>
  <c r="S22" i="11"/>
  <c r="T22" i="11" s="1"/>
  <c r="S14" i="11"/>
  <c r="T14" i="11" s="1"/>
  <c r="S17" i="11"/>
  <c r="T17" i="11" s="1"/>
  <c r="S5" i="11"/>
  <c r="T5" i="11" s="1"/>
  <c r="S15" i="11"/>
  <c r="T15" i="11" s="1"/>
  <c r="S4" i="11"/>
  <c r="T4" i="11" s="1"/>
  <c r="S16" i="11"/>
  <c r="T16" i="11" s="1"/>
  <c r="S21" i="11"/>
  <c r="T21" i="11" s="1"/>
  <c r="S7" i="11"/>
  <c r="T7" i="11" s="1"/>
  <c r="S19" i="11"/>
  <c r="T19" i="11" s="1"/>
  <c r="S6" i="11"/>
  <c r="T6" i="11" s="1"/>
  <c r="R9" i="2"/>
  <c r="S9" i="2" s="1"/>
  <c r="T9" i="2" s="1"/>
  <c r="R17" i="2"/>
  <c r="S17" i="2" s="1"/>
  <c r="T17" i="2" s="1"/>
  <c r="R7" i="2"/>
  <c r="S7" i="2" s="1"/>
  <c r="T7" i="2" s="1"/>
  <c r="R15" i="2"/>
  <c r="S15" i="2" s="1"/>
  <c r="T15" i="2" s="1"/>
  <c r="R8" i="2"/>
  <c r="S8" i="2" s="1"/>
  <c r="T8" i="2" s="1"/>
  <c r="R16" i="2"/>
  <c r="S16" i="2" s="1"/>
  <c r="T16" i="2" s="1"/>
  <c r="R35" i="2"/>
  <c r="R5" i="2"/>
  <c r="S5" i="2" s="1"/>
  <c r="T5" i="2" s="1"/>
  <c r="R13" i="2"/>
  <c r="S13" i="2" s="1"/>
  <c r="T13" i="2" s="1"/>
  <c r="R21" i="2"/>
  <c r="S21" i="2" s="1"/>
  <c r="T21" i="2" s="1"/>
  <c r="R11" i="2"/>
  <c r="S11" i="2" s="1"/>
  <c r="T11" i="2" s="1"/>
  <c r="R19" i="2"/>
  <c r="S19" i="2" s="1"/>
  <c r="T19" i="2" s="1"/>
  <c r="R6" i="2"/>
  <c r="S6" i="2" s="1"/>
  <c r="T6" i="2" s="1"/>
  <c r="R10" i="2"/>
  <c r="S10" i="2" s="1"/>
  <c r="T10" i="2" s="1"/>
  <c r="R14" i="2"/>
  <c r="S14" i="2" s="1"/>
  <c r="T14" i="2" s="1"/>
  <c r="R18" i="2"/>
  <c r="S18" i="2" s="1"/>
  <c r="T18" i="2" s="1"/>
  <c r="R22" i="2"/>
  <c r="S22" i="2" s="1"/>
  <c r="T22" i="2" s="1"/>
  <c r="S3" i="2"/>
  <c r="S35" i="11" l="1"/>
  <c r="U35" i="11" s="1"/>
  <c r="V35" i="11" s="1"/>
  <c r="U35" i="2"/>
  <c r="V35" i="2" s="1"/>
  <c r="T3" i="2"/>
</calcChain>
</file>

<file path=xl/sharedStrings.xml><?xml version="1.0" encoding="utf-8"?>
<sst xmlns="http://schemas.openxmlformats.org/spreadsheetml/2006/main" count="567" uniqueCount="59">
  <si>
    <t>fhog0</t>
  </si>
  <si>
    <t>fhog1</t>
  </si>
  <si>
    <t>fhog2</t>
  </si>
  <si>
    <t>fhog3</t>
  </si>
  <si>
    <t>fhog4</t>
  </si>
  <si>
    <t>fhog5</t>
  </si>
  <si>
    <t>fhog6</t>
  </si>
  <si>
    <t>fhog7</t>
  </si>
  <si>
    <t>label</t>
  </si>
  <si>
    <t>dataTrain_hog_lv30%_svm</t>
  </si>
  <si>
    <t>dataTest_hog_lv30%_svm</t>
  </si>
  <si>
    <t>dataTrain_hog_lv20%_svm</t>
  </si>
  <si>
    <t>dataTest_hog_lv20%_svm</t>
  </si>
  <si>
    <t>dataTrain_hog_lv10%_svm</t>
  </si>
  <si>
    <t>dataTest_hog_lv10%_svm</t>
  </si>
  <si>
    <t>dataTrain_slic_lv30%_svm</t>
  </si>
  <si>
    <t>dataTest_slic_lv30%_svm</t>
  </si>
  <si>
    <t>dataTrain_slic_lv20%_svm</t>
  </si>
  <si>
    <t>dataTest_slic_lv20%_svm</t>
  </si>
  <si>
    <t>dataTrain_slic_lv10%_svm</t>
  </si>
  <si>
    <t>dataTest_slic_lv10%_svm</t>
  </si>
  <si>
    <t>dataTrain_pca_lv30%_svm</t>
  </si>
  <si>
    <t>dataTest_pca_lv30%_svm</t>
  </si>
  <si>
    <t>dataTrain_pca_lv20%_svm</t>
  </si>
  <si>
    <t>dataTest_pca_lv20%_svm</t>
  </si>
  <si>
    <t>dataTrain_pca_lv10%_svm</t>
  </si>
  <si>
    <t>dataTest_pca_lv10%_svm</t>
  </si>
  <si>
    <t>w0</t>
  </si>
  <si>
    <t>w1</t>
  </si>
  <si>
    <t>w2</t>
  </si>
  <si>
    <t>w3</t>
  </si>
  <si>
    <t>w4</t>
  </si>
  <si>
    <t>w5</t>
  </si>
  <si>
    <t>w6</t>
  </si>
  <si>
    <t>w7</t>
  </si>
  <si>
    <t>b</t>
  </si>
  <si>
    <t>c</t>
  </si>
  <si>
    <t>h</t>
  </si>
  <si>
    <t>w0.x0</t>
  </si>
  <si>
    <t>w1.x1</t>
  </si>
  <si>
    <t>w2.x2</t>
  </si>
  <si>
    <t>w3.x3</t>
  </si>
  <si>
    <t>w4.x4</t>
  </si>
  <si>
    <t>w5.x5</t>
  </si>
  <si>
    <t>w6.x6</t>
  </si>
  <si>
    <t>w7.x7</t>
  </si>
  <si>
    <t>sv1</t>
  </si>
  <si>
    <t>sv2</t>
  </si>
  <si>
    <t>sv3</t>
  </si>
  <si>
    <t>sv4</t>
  </si>
  <si>
    <t>sv5</t>
  </si>
  <si>
    <t>sv6</t>
  </si>
  <si>
    <t>sv7</t>
  </si>
  <si>
    <t>sv0</t>
  </si>
  <si>
    <t>support Vector</t>
  </si>
  <si>
    <t>vector (w)</t>
  </si>
  <si>
    <t>sum(wn+xn)</t>
  </si>
  <si>
    <t>hasilKlasifikasi</t>
  </si>
  <si>
    <t>median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</si>
</sst>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1" applyNumberFormat="1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64" fontId="0" fillId="0" borderId="1" xfId="1" applyNumberFormat="1" applyFont="1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164" fontId="0" fillId="3" borderId="1" xfId="1" applyNumberFormat="1" applyFont="1" applyFill="1" applyBorder="1" applyAlignment="1">
      <alignment horizontal="right"/>
    </xf>
    <xf numFmtId="164" fontId="0" fillId="4" borderId="1" xfId="1" applyNumberFormat="1" applyFont="1" applyFill="1" applyBorder="1" applyAlignment="1">
      <alignment horizontal="right"/>
    </xf>
    <xf numFmtId="164" fontId="3" fillId="2" borderId="1" xfId="1" applyNumberFormat="1" applyFont="1" applyFill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164" fontId="0" fillId="0" borderId="1" xfId="0" applyNumberFormat="1" applyBorder="1"/>
    <xf numFmtId="164" fontId="3" fillId="0" borderId="0" xfId="1" applyNumberFormat="1" applyFont="1" applyFill="1" applyBorder="1" applyAlignment="1">
      <alignment horizontal="center" vertical="top"/>
    </xf>
    <xf numFmtId="164" fontId="0" fillId="0" borderId="0" xfId="1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0" fillId="3" borderId="1" xfId="1" applyNumberFormat="1" applyFont="1" applyFill="1" applyBorder="1" applyAlignment="1">
      <alignment horizontal="right"/>
    </xf>
    <xf numFmtId="0" fontId="0" fillId="4" borderId="1" xfId="1" applyNumberFormat="1" applyFont="1" applyFill="1" applyBorder="1" applyAlignment="1">
      <alignment horizontal="right"/>
    </xf>
    <xf numFmtId="0" fontId="0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4E49-C64E-4792-8AE0-FD53751077A0}">
  <dimension ref="A1:V35"/>
  <sheetViews>
    <sheetView tabSelected="1" zoomScale="70" zoomScaleNormal="70" zoomScalePageLayoutView="60" workbookViewId="0">
      <selection activeCell="V14" sqref="V14"/>
    </sheetView>
  </sheetViews>
  <sheetFormatPr defaultRowHeight="15" x14ac:dyDescent="0.25"/>
  <cols>
    <col min="9" max="9" width="7.28515625" bestFit="1" customWidth="1"/>
    <col min="10" max="10" width="12.85546875" style="1" bestFit="1" customWidth="1"/>
    <col min="11" max="12" width="11.42578125" bestFit="1" customWidth="1"/>
    <col min="13" max="13" width="10.7109375" customWidth="1"/>
    <col min="14" max="16" width="10.7109375" bestFit="1" customWidth="1"/>
    <col min="17" max="17" width="10.7109375" customWidth="1"/>
    <col min="18" max="18" width="17.7109375" bestFit="1" customWidth="1"/>
    <col min="19" max="19" width="13.140625" bestFit="1" customWidth="1"/>
    <col min="20" max="20" width="5.7109375" bestFit="1" customWidth="1"/>
    <col min="21" max="21" width="10.5703125" bestFit="1" customWidth="1"/>
    <col min="22" max="22" width="21.140625" bestFit="1" customWidth="1"/>
  </cols>
  <sheetData>
    <row r="1" spans="1:22" x14ac:dyDescent="0.25">
      <c r="A1" t="s">
        <v>9</v>
      </c>
    </row>
    <row r="2" spans="1:22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2" x14ac:dyDescent="0.25">
      <c r="A3" s="6">
        <v>1432</v>
      </c>
      <c r="B3" s="6">
        <v>1487</v>
      </c>
      <c r="C3" s="6">
        <v>727</v>
      </c>
      <c r="D3" s="6">
        <v>201</v>
      </c>
      <c r="E3" s="6">
        <v>156</v>
      </c>
      <c r="F3" s="6">
        <v>37</v>
      </c>
      <c r="G3" s="6">
        <v>42</v>
      </c>
      <c r="H3" s="6">
        <v>14</v>
      </c>
      <c r="I3" s="6">
        <v>0</v>
      </c>
      <c r="J3" s="8">
        <f>A31*A3</f>
        <v>-1516488</v>
      </c>
      <c r="K3" s="8">
        <f t="shared" ref="K3:Q3" si="0">B31*B3</f>
        <v>-336062</v>
      </c>
      <c r="L3" s="8">
        <f t="shared" si="0"/>
        <v>-403485</v>
      </c>
      <c r="M3" s="8">
        <f t="shared" si="0"/>
        <v>-67737</v>
      </c>
      <c r="N3" s="8">
        <f t="shared" si="0"/>
        <v>-32448</v>
      </c>
      <c r="O3" s="8">
        <f t="shared" si="0"/>
        <v>-5217</v>
      </c>
      <c r="P3" s="8">
        <f t="shared" si="0"/>
        <v>-3402</v>
      </c>
      <c r="Q3" s="8">
        <f t="shared" si="0"/>
        <v>-420</v>
      </c>
      <c r="R3" s="8">
        <f>SUM(J3:Q3)</f>
        <v>-2365259</v>
      </c>
      <c r="S3" s="8">
        <f>ABS(R3)+1</f>
        <v>2365260</v>
      </c>
      <c r="T3" s="8">
        <f t="shared" ref="T3:T22" si="1">R3+S3</f>
        <v>1</v>
      </c>
      <c r="U3" s="16"/>
    </row>
    <row r="4" spans="1:22" x14ac:dyDescent="0.25">
      <c r="A4" s="6">
        <v>1912</v>
      </c>
      <c r="B4" s="6">
        <v>1262</v>
      </c>
      <c r="C4" s="6">
        <v>520</v>
      </c>
      <c r="D4" s="6">
        <v>235</v>
      </c>
      <c r="E4" s="6">
        <v>97</v>
      </c>
      <c r="F4" s="6">
        <v>24</v>
      </c>
      <c r="G4" s="6">
        <v>41</v>
      </c>
      <c r="H4" s="6">
        <v>5</v>
      </c>
      <c r="I4" s="6">
        <v>0</v>
      </c>
      <c r="J4" s="8">
        <f>A31*A4</f>
        <v>-2024808</v>
      </c>
      <c r="K4" s="8">
        <f t="shared" ref="K4:Q4" si="2">B31*B4</f>
        <v>-285212</v>
      </c>
      <c r="L4" s="8">
        <f t="shared" si="2"/>
        <v>-288600</v>
      </c>
      <c r="M4" s="8">
        <f t="shared" si="2"/>
        <v>-79195</v>
      </c>
      <c r="N4" s="8">
        <f t="shared" si="2"/>
        <v>-20176</v>
      </c>
      <c r="O4" s="8">
        <f t="shared" si="2"/>
        <v>-3384</v>
      </c>
      <c r="P4" s="8">
        <f t="shared" si="2"/>
        <v>-3321</v>
      </c>
      <c r="Q4" s="8">
        <f t="shared" si="2"/>
        <v>-150</v>
      </c>
      <c r="R4" s="8">
        <f t="shared" ref="R4:R22" si="3">SUM(J4:Q4)</f>
        <v>-2704846</v>
      </c>
      <c r="S4" s="8">
        <f t="shared" ref="S4:S12" si="4">ABS(R4)+1</f>
        <v>2704847</v>
      </c>
      <c r="T4" s="8">
        <f t="shared" si="1"/>
        <v>1</v>
      </c>
      <c r="U4" s="16"/>
    </row>
    <row r="5" spans="1:22" x14ac:dyDescent="0.25">
      <c r="A5" s="6">
        <v>1627</v>
      </c>
      <c r="B5" s="6">
        <v>1338</v>
      </c>
      <c r="C5" s="6">
        <v>639</v>
      </c>
      <c r="D5" s="6">
        <v>279</v>
      </c>
      <c r="E5" s="6">
        <v>114</v>
      </c>
      <c r="F5" s="6">
        <v>72</v>
      </c>
      <c r="G5" s="6">
        <v>12</v>
      </c>
      <c r="H5" s="6">
        <v>15</v>
      </c>
      <c r="I5" s="6">
        <v>0</v>
      </c>
      <c r="J5" s="8">
        <f>A31*A5</f>
        <v>-1722993</v>
      </c>
      <c r="K5" s="8">
        <f t="shared" ref="K5:Q5" si="5">B31*B5</f>
        <v>-302388</v>
      </c>
      <c r="L5" s="8">
        <f t="shared" si="5"/>
        <v>-354645</v>
      </c>
      <c r="M5" s="8">
        <f t="shared" si="5"/>
        <v>-94023</v>
      </c>
      <c r="N5" s="8">
        <f t="shared" si="5"/>
        <v>-23712</v>
      </c>
      <c r="O5" s="8">
        <f t="shared" si="5"/>
        <v>-10152</v>
      </c>
      <c r="P5" s="8">
        <f t="shared" si="5"/>
        <v>-972</v>
      </c>
      <c r="Q5" s="8">
        <f t="shared" si="5"/>
        <v>-450</v>
      </c>
      <c r="R5" s="8">
        <f t="shared" si="3"/>
        <v>-2509335</v>
      </c>
      <c r="S5" s="8">
        <f t="shared" si="4"/>
        <v>2509336</v>
      </c>
      <c r="T5" s="8">
        <f t="shared" si="1"/>
        <v>1</v>
      </c>
      <c r="U5" s="16"/>
    </row>
    <row r="6" spans="1:22" x14ac:dyDescent="0.25">
      <c r="A6" s="6">
        <v>1233</v>
      </c>
      <c r="B6" s="6">
        <v>1252</v>
      </c>
      <c r="C6" s="6">
        <v>830</v>
      </c>
      <c r="D6" s="6">
        <v>418</v>
      </c>
      <c r="E6" s="6">
        <v>239</v>
      </c>
      <c r="F6" s="6">
        <v>77</v>
      </c>
      <c r="G6" s="6">
        <v>23</v>
      </c>
      <c r="H6" s="6">
        <v>24</v>
      </c>
      <c r="I6" s="6">
        <v>0</v>
      </c>
      <c r="J6" s="8">
        <f>A31*A6</f>
        <v>-1305747</v>
      </c>
      <c r="K6" s="8">
        <f t="shared" ref="K6:Q6" si="6">B31*B6</f>
        <v>-282952</v>
      </c>
      <c r="L6" s="8">
        <f t="shared" si="6"/>
        <v>-460650</v>
      </c>
      <c r="M6" s="8">
        <f t="shared" si="6"/>
        <v>-140866</v>
      </c>
      <c r="N6" s="8">
        <f t="shared" si="6"/>
        <v>-49712</v>
      </c>
      <c r="O6" s="8">
        <f t="shared" si="6"/>
        <v>-10857</v>
      </c>
      <c r="P6" s="8">
        <f t="shared" si="6"/>
        <v>-1863</v>
      </c>
      <c r="Q6" s="8">
        <f t="shared" si="6"/>
        <v>-720</v>
      </c>
      <c r="R6" s="8">
        <f t="shared" si="3"/>
        <v>-2253367</v>
      </c>
      <c r="S6" s="8">
        <f t="shared" si="4"/>
        <v>2253368</v>
      </c>
      <c r="T6" s="8">
        <f t="shared" si="1"/>
        <v>1</v>
      </c>
      <c r="U6" s="16"/>
    </row>
    <row r="7" spans="1:22" x14ac:dyDescent="0.25">
      <c r="A7" s="6">
        <v>1216</v>
      </c>
      <c r="B7" s="6">
        <v>1275</v>
      </c>
      <c r="C7" s="6">
        <v>934</v>
      </c>
      <c r="D7" s="6">
        <v>354</v>
      </c>
      <c r="E7" s="6">
        <v>170</v>
      </c>
      <c r="F7" s="6">
        <v>86</v>
      </c>
      <c r="G7" s="6">
        <v>46</v>
      </c>
      <c r="H7" s="6">
        <v>15</v>
      </c>
      <c r="I7" s="6">
        <v>0</v>
      </c>
      <c r="J7" s="8">
        <f>A31*A7</f>
        <v>-1287744</v>
      </c>
      <c r="K7" s="8">
        <f t="shared" ref="K7:Q7" si="7">B31*B7</f>
        <v>-288150</v>
      </c>
      <c r="L7" s="8">
        <f t="shared" si="7"/>
        <v>-518370</v>
      </c>
      <c r="M7" s="8">
        <f t="shared" si="7"/>
        <v>-119298</v>
      </c>
      <c r="N7" s="8">
        <f t="shared" si="7"/>
        <v>-35360</v>
      </c>
      <c r="O7" s="8">
        <f t="shared" si="7"/>
        <v>-12126</v>
      </c>
      <c r="P7" s="8">
        <f t="shared" si="7"/>
        <v>-3726</v>
      </c>
      <c r="Q7" s="8">
        <f t="shared" si="7"/>
        <v>-450</v>
      </c>
      <c r="R7" s="8">
        <f t="shared" si="3"/>
        <v>-2265224</v>
      </c>
      <c r="S7" s="8">
        <f t="shared" si="4"/>
        <v>2265225</v>
      </c>
      <c r="T7" s="8">
        <f t="shared" si="1"/>
        <v>1</v>
      </c>
      <c r="U7" s="16"/>
    </row>
    <row r="8" spans="1:22" x14ac:dyDescent="0.25">
      <c r="A8" s="6">
        <v>1777</v>
      </c>
      <c r="B8" s="6">
        <v>1290</v>
      </c>
      <c r="C8" s="6">
        <v>653</v>
      </c>
      <c r="D8" s="6">
        <v>235</v>
      </c>
      <c r="E8" s="6">
        <v>97</v>
      </c>
      <c r="F8" s="6">
        <v>22</v>
      </c>
      <c r="G8" s="6">
        <v>4</v>
      </c>
      <c r="H8" s="6">
        <v>18</v>
      </c>
      <c r="I8" s="6">
        <v>0</v>
      </c>
      <c r="J8" s="8">
        <f>A31*A8</f>
        <v>-1881843</v>
      </c>
      <c r="K8" s="8">
        <f t="shared" ref="K8:Q8" si="8">B31*B8</f>
        <v>-291540</v>
      </c>
      <c r="L8" s="8">
        <f t="shared" si="8"/>
        <v>-362415</v>
      </c>
      <c r="M8" s="8">
        <f t="shared" si="8"/>
        <v>-79195</v>
      </c>
      <c r="N8" s="8">
        <f t="shared" si="8"/>
        <v>-20176</v>
      </c>
      <c r="O8" s="8">
        <f t="shared" si="8"/>
        <v>-3102</v>
      </c>
      <c r="P8" s="8">
        <f t="shared" si="8"/>
        <v>-324</v>
      </c>
      <c r="Q8" s="8">
        <f t="shared" si="8"/>
        <v>-540</v>
      </c>
      <c r="R8" s="8">
        <f t="shared" si="3"/>
        <v>-2639135</v>
      </c>
      <c r="S8" s="8">
        <f t="shared" si="4"/>
        <v>2639136</v>
      </c>
      <c r="T8" s="8">
        <f t="shared" si="1"/>
        <v>1</v>
      </c>
      <c r="U8" s="16"/>
    </row>
    <row r="9" spans="1:22" x14ac:dyDescent="0.25">
      <c r="A9" s="6">
        <v>1205</v>
      </c>
      <c r="B9" s="6">
        <v>1442</v>
      </c>
      <c r="C9" s="6">
        <v>876</v>
      </c>
      <c r="D9" s="6">
        <v>349</v>
      </c>
      <c r="E9" s="6">
        <v>125</v>
      </c>
      <c r="F9" s="6">
        <v>56</v>
      </c>
      <c r="G9" s="6">
        <v>26</v>
      </c>
      <c r="H9" s="6">
        <v>17</v>
      </c>
      <c r="I9" s="6">
        <v>0</v>
      </c>
      <c r="J9" s="8">
        <f>A31*A9</f>
        <v>-1276095</v>
      </c>
      <c r="K9" s="8">
        <f t="shared" ref="K9:Q9" si="9">B31*B9</f>
        <v>-325892</v>
      </c>
      <c r="L9" s="8">
        <f t="shared" si="9"/>
        <v>-486180</v>
      </c>
      <c r="M9" s="8">
        <f t="shared" si="9"/>
        <v>-117613</v>
      </c>
      <c r="N9" s="8">
        <f t="shared" si="9"/>
        <v>-26000</v>
      </c>
      <c r="O9" s="8">
        <f t="shared" si="9"/>
        <v>-7896</v>
      </c>
      <c r="P9" s="8">
        <f t="shared" si="9"/>
        <v>-2106</v>
      </c>
      <c r="Q9" s="8">
        <f t="shared" si="9"/>
        <v>-510</v>
      </c>
      <c r="R9" s="8">
        <f t="shared" si="3"/>
        <v>-2242292</v>
      </c>
      <c r="S9" s="8">
        <f t="shared" si="4"/>
        <v>2242293</v>
      </c>
      <c r="T9" s="8">
        <f t="shared" si="1"/>
        <v>1</v>
      </c>
      <c r="U9" s="16"/>
    </row>
    <row r="10" spans="1:22" x14ac:dyDescent="0.25">
      <c r="A10" s="6">
        <v>1425</v>
      </c>
      <c r="B10" s="6">
        <v>1270</v>
      </c>
      <c r="C10" s="6">
        <v>828</v>
      </c>
      <c r="D10" s="6">
        <v>345</v>
      </c>
      <c r="E10" s="6">
        <v>84</v>
      </c>
      <c r="F10" s="6">
        <v>84</v>
      </c>
      <c r="G10" s="6">
        <v>39</v>
      </c>
      <c r="H10" s="6">
        <v>21</v>
      </c>
      <c r="I10" s="6">
        <v>0</v>
      </c>
      <c r="J10" s="8">
        <f>A31*A10</f>
        <v>-1509075</v>
      </c>
      <c r="K10" s="8">
        <f t="shared" ref="K10:Q10" si="10">B31*B10</f>
        <v>-287020</v>
      </c>
      <c r="L10" s="8">
        <f t="shared" si="10"/>
        <v>-459540</v>
      </c>
      <c r="M10" s="8">
        <f t="shared" si="10"/>
        <v>-116265</v>
      </c>
      <c r="N10" s="8">
        <f t="shared" si="10"/>
        <v>-17472</v>
      </c>
      <c r="O10" s="8">
        <f t="shared" si="10"/>
        <v>-11844</v>
      </c>
      <c r="P10" s="8">
        <f t="shared" si="10"/>
        <v>-3159</v>
      </c>
      <c r="Q10" s="8">
        <f t="shared" si="10"/>
        <v>-630</v>
      </c>
      <c r="R10" s="8">
        <f t="shared" si="3"/>
        <v>-2405005</v>
      </c>
      <c r="S10" s="8">
        <f t="shared" si="4"/>
        <v>2405006</v>
      </c>
      <c r="T10" s="8">
        <f t="shared" si="1"/>
        <v>1</v>
      </c>
      <c r="U10" s="16"/>
    </row>
    <row r="11" spans="1:22" x14ac:dyDescent="0.25">
      <c r="A11" s="6">
        <v>2455</v>
      </c>
      <c r="B11" s="6">
        <v>1112</v>
      </c>
      <c r="C11" s="6">
        <v>343</v>
      </c>
      <c r="D11" s="6">
        <v>133</v>
      </c>
      <c r="E11" s="6">
        <v>37</v>
      </c>
      <c r="F11" s="6">
        <v>8</v>
      </c>
      <c r="G11" s="6">
        <v>4</v>
      </c>
      <c r="H11" s="6">
        <v>4</v>
      </c>
      <c r="I11" s="6">
        <v>0</v>
      </c>
      <c r="J11" s="8">
        <f>A31*A11</f>
        <v>-2599845</v>
      </c>
      <c r="K11" s="8">
        <f t="shared" ref="K11:Q11" si="11">B31*B11</f>
        <v>-251312</v>
      </c>
      <c r="L11" s="8">
        <f t="shared" si="11"/>
        <v>-190365</v>
      </c>
      <c r="M11" s="8">
        <f t="shared" si="11"/>
        <v>-44821</v>
      </c>
      <c r="N11" s="8">
        <f t="shared" si="11"/>
        <v>-7696</v>
      </c>
      <c r="O11" s="8">
        <f t="shared" si="11"/>
        <v>-1128</v>
      </c>
      <c r="P11" s="8">
        <f t="shared" si="11"/>
        <v>-324</v>
      </c>
      <c r="Q11" s="8">
        <f t="shared" si="11"/>
        <v>-120</v>
      </c>
      <c r="R11" s="8">
        <f t="shared" si="3"/>
        <v>-3095611</v>
      </c>
      <c r="S11" s="8">
        <f t="shared" si="4"/>
        <v>3095612</v>
      </c>
      <c r="T11" s="8">
        <f t="shared" si="1"/>
        <v>1</v>
      </c>
      <c r="U11" s="16"/>
    </row>
    <row r="12" spans="1:22" x14ac:dyDescent="0.25">
      <c r="A12" s="6">
        <v>1233</v>
      </c>
      <c r="B12" s="6">
        <v>1277</v>
      </c>
      <c r="C12" s="6">
        <v>772</v>
      </c>
      <c r="D12" s="6">
        <v>412</v>
      </c>
      <c r="E12" s="6">
        <v>215</v>
      </c>
      <c r="F12" s="6">
        <v>99</v>
      </c>
      <c r="G12" s="6">
        <v>48</v>
      </c>
      <c r="H12" s="6">
        <v>40</v>
      </c>
      <c r="I12" s="6">
        <v>0</v>
      </c>
      <c r="J12" s="8">
        <f>A31*A12</f>
        <v>-1305747</v>
      </c>
      <c r="K12" s="8">
        <f t="shared" ref="K12:Q12" si="12">B31*B12</f>
        <v>-288602</v>
      </c>
      <c r="L12" s="8">
        <f t="shared" si="12"/>
        <v>-428460</v>
      </c>
      <c r="M12" s="8">
        <f t="shared" si="12"/>
        <v>-138844</v>
      </c>
      <c r="N12" s="8">
        <f t="shared" si="12"/>
        <v>-44720</v>
      </c>
      <c r="O12" s="8">
        <f t="shared" si="12"/>
        <v>-13959</v>
      </c>
      <c r="P12" s="8">
        <f t="shared" si="12"/>
        <v>-3888</v>
      </c>
      <c r="Q12" s="8">
        <f t="shared" si="12"/>
        <v>-1200</v>
      </c>
      <c r="R12" s="8">
        <f t="shared" si="3"/>
        <v>-2225420</v>
      </c>
      <c r="S12" s="8">
        <f t="shared" si="4"/>
        <v>2225421</v>
      </c>
      <c r="T12" s="8">
        <f t="shared" si="1"/>
        <v>1</v>
      </c>
      <c r="U12" s="16"/>
    </row>
    <row r="13" spans="1:22" x14ac:dyDescent="0.25">
      <c r="A13" s="7">
        <v>1342</v>
      </c>
      <c r="B13" s="7">
        <v>1338</v>
      </c>
      <c r="C13" s="7">
        <v>782</v>
      </c>
      <c r="D13" s="7">
        <v>372</v>
      </c>
      <c r="E13" s="7">
        <v>169</v>
      </c>
      <c r="F13" s="7">
        <v>60</v>
      </c>
      <c r="G13" s="7">
        <v>23</v>
      </c>
      <c r="H13" s="7">
        <v>10</v>
      </c>
      <c r="I13" s="7">
        <v>1</v>
      </c>
      <c r="J13" s="9">
        <f>A31*A13</f>
        <v>-1421178</v>
      </c>
      <c r="K13" s="9">
        <f t="shared" ref="K13:Q13" si="13">B31*B13</f>
        <v>-302388</v>
      </c>
      <c r="L13" s="9">
        <f t="shared" si="13"/>
        <v>-434010</v>
      </c>
      <c r="M13" s="9">
        <f t="shared" si="13"/>
        <v>-125364</v>
      </c>
      <c r="N13" s="9">
        <f t="shared" si="13"/>
        <v>-35152</v>
      </c>
      <c r="O13" s="9">
        <f t="shared" si="13"/>
        <v>-8460</v>
      </c>
      <c r="P13" s="9">
        <f t="shared" si="13"/>
        <v>-1863</v>
      </c>
      <c r="Q13" s="9">
        <f t="shared" si="13"/>
        <v>-300</v>
      </c>
      <c r="R13" s="9">
        <f t="shared" si="3"/>
        <v>-2328715</v>
      </c>
      <c r="S13" s="9">
        <f>ABS(R13)-1</f>
        <v>2328714</v>
      </c>
      <c r="T13" s="9">
        <f t="shared" si="1"/>
        <v>-1</v>
      </c>
      <c r="U13" s="16"/>
    </row>
    <row r="14" spans="1:22" x14ac:dyDescent="0.25">
      <c r="A14" s="7">
        <v>1125</v>
      </c>
      <c r="B14" s="7">
        <v>1090</v>
      </c>
      <c r="C14" s="7">
        <v>898</v>
      </c>
      <c r="D14" s="7">
        <v>470</v>
      </c>
      <c r="E14" s="7">
        <v>245</v>
      </c>
      <c r="F14" s="7">
        <v>149</v>
      </c>
      <c r="G14" s="7">
        <v>85</v>
      </c>
      <c r="H14" s="7">
        <v>34</v>
      </c>
      <c r="I14" s="7">
        <v>1</v>
      </c>
      <c r="J14" s="9">
        <f>A31*A14</f>
        <v>-1191375</v>
      </c>
      <c r="K14" s="9">
        <f t="shared" ref="K14:Q14" si="14">B31*B14</f>
        <v>-246340</v>
      </c>
      <c r="L14" s="9">
        <f t="shared" si="14"/>
        <v>-498390</v>
      </c>
      <c r="M14" s="9">
        <f t="shared" si="14"/>
        <v>-158390</v>
      </c>
      <c r="N14" s="9">
        <f t="shared" si="14"/>
        <v>-50960</v>
      </c>
      <c r="O14" s="9">
        <f t="shared" si="14"/>
        <v>-21009</v>
      </c>
      <c r="P14" s="9">
        <f t="shared" si="14"/>
        <v>-6885</v>
      </c>
      <c r="Q14" s="9">
        <f t="shared" si="14"/>
        <v>-1020</v>
      </c>
      <c r="R14" s="9">
        <f t="shared" si="3"/>
        <v>-2174369</v>
      </c>
      <c r="S14" s="9">
        <f t="shared" ref="S14:S22" si="15">ABS(R14)-1</f>
        <v>2174368</v>
      </c>
      <c r="T14" s="9">
        <f t="shared" si="1"/>
        <v>-1</v>
      </c>
      <c r="U14" s="16"/>
      <c r="V14" s="23"/>
    </row>
    <row r="15" spans="1:22" x14ac:dyDescent="0.25">
      <c r="A15" s="7">
        <v>2264</v>
      </c>
      <c r="B15" s="7">
        <v>1085</v>
      </c>
      <c r="C15" s="7">
        <v>453</v>
      </c>
      <c r="D15" s="7">
        <v>163</v>
      </c>
      <c r="E15" s="7">
        <v>69</v>
      </c>
      <c r="F15" s="7">
        <v>51</v>
      </c>
      <c r="G15" s="7">
        <v>8</v>
      </c>
      <c r="H15" s="7">
        <v>3</v>
      </c>
      <c r="I15" s="7">
        <v>1</v>
      </c>
      <c r="J15" s="9">
        <f>A31*A15</f>
        <v>-2397576</v>
      </c>
      <c r="K15" s="9">
        <f t="shared" ref="K15:Q15" si="16">B31*B15</f>
        <v>-245210</v>
      </c>
      <c r="L15" s="9">
        <f t="shared" si="16"/>
        <v>-251415</v>
      </c>
      <c r="M15" s="9">
        <f t="shared" si="16"/>
        <v>-54931</v>
      </c>
      <c r="N15" s="9">
        <f t="shared" si="16"/>
        <v>-14352</v>
      </c>
      <c r="O15" s="9">
        <f t="shared" si="16"/>
        <v>-7191</v>
      </c>
      <c r="P15" s="9">
        <f t="shared" si="16"/>
        <v>-648</v>
      </c>
      <c r="Q15" s="9">
        <f t="shared" si="16"/>
        <v>-90</v>
      </c>
      <c r="R15" s="9">
        <f t="shared" si="3"/>
        <v>-2971413</v>
      </c>
      <c r="S15" s="9">
        <f t="shared" si="15"/>
        <v>2971412</v>
      </c>
      <c r="T15" s="9">
        <f t="shared" si="1"/>
        <v>-1</v>
      </c>
      <c r="U15" s="16"/>
    </row>
    <row r="16" spans="1:22" x14ac:dyDescent="0.25">
      <c r="A16" s="7">
        <v>1551</v>
      </c>
      <c r="B16" s="7">
        <v>1214</v>
      </c>
      <c r="C16" s="7">
        <v>707</v>
      </c>
      <c r="D16" s="7">
        <v>397</v>
      </c>
      <c r="E16" s="7">
        <v>151</v>
      </c>
      <c r="F16" s="7">
        <v>59</v>
      </c>
      <c r="G16" s="7">
        <v>13</v>
      </c>
      <c r="H16" s="7">
        <v>4</v>
      </c>
      <c r="I16" s="7">
        <v>1</v>
      </c>
      <c r="J16" s="9">
        <f>A31*A16</f>
        <v>-1642509</v>
      </c>
      <c r="K16" s="9">
        <f t="shared" ref="K16:Q16" si="17">B31*B16</f>
        <v>-274364</v>
      </c>
      <c r="L16" s="9">
        <f t="shared" si="17"/>
        <v>-392385</v>
      </c>
      <c r="M16" s="9">
        <f t="shared" si="17"/>
        <v>-133789</v>
      </c>
      <c r="N16" s="9">
        <f t="shared" si="17"/>
        <v>-31408</v>
      </c>
      <c r="O16" s="9">
        <f t="shared" si="17"/>
        <v>-8319</v>
      </c>
      <c r="P16" s="9">
        <f t="shared" si="17"/>
        <v>-1053</v>
      </c>
      <c r="Q16" s="9">
        <f t="shared" si="17"/>
        <v>-120</v>
      </c>
      <c r="R16" s="9">
        <f t="shared" si="3"/>
        <v>-2483947</v>
      </c>
      <c r="S16" s="9">
        <f t="shared" si="15"/>
        <v>2483946</v>
      </c>
      <c r="T16" s="9">
        <f t="shared" si="1"/>
        <v>-1</v>
      </c>
      <c r="U16" s="16"/>
    </row>
    <row r="17" spans="1:21" x14ac:dyDescent="0.25">
      <c r="A17" s="7">
        <v>1491</v>
      </c>
      <c r="B17" s="7">
        <v>1182</v>
      </c>
      <c r="C17" s="7">
        <v>670</v>
      </c>
      <c r="D17" s="7">
        <v>378</v>
      </c>
      <c r="E17" s="7">
        <v>155</v>
      </c>
      <c r="F17" s="7">
        <v>126</v>
      </c>
      <c r="G17" s="7">
        <v>67</v>
      </c>
      <c r="H17" s="7">
        <v>27</v>
      </c>
      <c r="I17" s="7">
        <v>1</v>
      </c>
      <c r="J17" s="9">
        <f>A31*A17</f>
        <v>-1578969</v>
      </c>
      <c r="K17" s="9">
        <f t="shared" ref="K17:Q17" si="18">B31*B17</f>
        <v>-267132</v>
      </c>
      <c r="L17" s="9">
        <f t="shared" si="18"/>
        <v>-371850</v>
      </c>
      <c r="M17" s="9">
        <f t="shared" si="18"/>
        <v>-127386</v>
      </c>
      <c r="N17" s="9">
        <f t="shared" si="18"/>
        <v>-32240</v>
      </c>
      <c r="O17" s="9">
        <f t="shared" si="18"/>
        <v>-17766</v>
      </c>
      <c r="P17" s="9">
        <f t="shared" si="18"/>
        <v>-5427</v>
      </c>
      <c r="Q17" s="9">
        <f t="shared" si="18"/>
        <v>-810</v>
      </c>
      <c r="R17" s="9">
        <f t="shared" si="3"/>
        <v>-2401580</v>
      </c>
      <c r="S17" s="9">
        <f t="shared" si="15"/>
        <v>2401579</v>
      </c>
      <c r="T17" s="9">
        <f t="shared" si="1"/>
        <v>-1</v>
      </c>
      <c r="U17" s="16"/>
    </row>
    <row r="18" spans="1:21" x14ac:dyDescent="0.25">
      <c r="A18" s="7">
        <v>1397</v>
      </c>
      <c r="B18" s="7">
        <v>1163</v>
      </c>
      <c r="C18" s="7">
        <v>787</v>
      </c>
      <c r="D18" s="7">
        <v>403</v>
      </c>
      <c r="E18" s="7">
        <v>201</v>
      </c>
      <c r="F18" s="7">
        <v>108</v>
      </c>
      <c r="G18" s="7">
        <v>27</v>
      </c>
      <c r="H18" s="7">
        <v>10</v>
      </c>
      <c r="I18" s="7">
        <v>1</v>
      </c>
      <c r="J18" s="9">
        <f>A31*A18</f>
        <v>-1479423</v>
      </c>
      <c r="K18" s="9">
        <f t="shared" ref="K18:Q18" si="19">B31*B18</f>
        <v>-262838</v>
      </c>
      <c r="L18" s="9">
        <f t="shared" si="19"/>
        <v>-436785</v>
      </c>
      <c r="M18" s="9">
        <f t="shared" si="19"/>
        <v>-135811</v>
      </c>
      <c r="N18" s="9">
        <f t="shared" si="19"/>
        <v>-41808</v>
      </c>
      <c r="O18" s="9">
        <f t="shared" si="19"/>
        <v>-15228</v>
      </c>
      <c r="P18" s="9">
        <f t="shared" si="19"/>
        <v>-2187</v>
      </c>
      <c r="Q18" s="9">
        <f t="shared" si="19"/>
        <v>-300</v>
      </c>
      <c r="R18" s="9">
        <f t="shared" si="3"/>
        <v>-2374380</v>
      </c>
      <c r="S18" s="9">
        <f t="shared" si="15"/>
        <v>2374379</v>
      </c>
      <c r="T18" s="9">
        <f t="shared" si="1"/>
        <v>-1</v>
      </c>
      <c r="U18" s="16"/>
    </row>
    <row r="19" spans="1:21" x14ac:dyDescent="0.25">
      <c r="A19" s="7">
        <v>1727</v>
      </c>
      <c r="B19" s="7">
        <v>1245</v>
      </c>
      <c r="C19" s="7">
        <v>560</v>
      </c>
      <c r="D19" s="7">
        <v>293</v>
      </c>
      <c r="E19" s="7">
        <v>154</v>
      </c>
      <c r="F19" s="7">
        <v>66</v>
      </c>
      <c r="G19" s="7">
        <v>33</v>
      </c>
      <c r="H19" s="7">
        <v>18</v>
      </c>
      <c r="I19" s="7">
        <v>1</v>
      </c>
      <c r="J19" s="9">
        <f>A31*A19</f>
        <v>-1828893</v>
      </c>
      <c r="K19" s="9">
        <f t="shared" ref="K19:Q19" si="20">B31*B19</f>
        <v>-281370</v>
      </c>
      <c r="L19" s="9">
        <f t="shared" si="20"/>
        <v>-310800</v>
      </c>
      <c r="M19" s="9">
        <f t="shared" si="20"/>
        <v>-98741</v>
      </c>
      <c r="N19" s="9">
        <f t="shared" si="20"/>
        <v>-32032</v>
      </c>
      <c r="O19" s="9">
        <f t="shared" si="20"/>
        <v>-9306</v>
      </c>
      <c r="P19" s="9">
        <f t="shared" si="20"/>
        <v>-2673</v>
      </c>
      <c r="Q19" s="9">
        <f t="shared" si="20"/>
        <v>-540</v>
      </c>
      <c r="R19" s="9">
        <f t="shared" si="3"/>
        <v>-2564355</v>
      </c>
      <c r="S19" s="9">
        <f t="shared" si="15"/>
        <v>2564354</v>
      </c>
      <c r="T19" s="9">
        <f t="shared" si="1"/>
        <v>-1</v>
      </c>
      <c r="U19" s="16"/>
    </row>
    <row r="20" spans="1:21" x14ac:dyDescent="0.25">
      <c r="A20" s="7">
        <v>1810</v>
      </c>
      <c r="B20" s="7">
        <v>1102</v>
      </c>
      <c r="C20" s="7">
        <v>616</v>
      </c>
      <c r="D20" s="7">
        <v>302</v>
      </c>
      <c r="E20" s="7">
        <v>160</v>
      </c>
      <c r="F20" s="7">
        <v>62</v>
      </c>
      <c r="G20" s="7">
        <v>31</v>
      </c>
      <c r="H20" s="7">
        <v>13</v>
      </c>
      <c r="I20" s="7">
        <v>1</v>
      </c>
      <c r="J20" s="9">
        <f>A31*A20</f>
        <v>-1916790</v>
      </c>
      <c r="K20" s="9">
        <f t="shared" ref="K20:Q20" si="21">B31*B20</f>
        <v>-249052</v>
      </c>
      <c r="L20" s="9">
        <f t="shared" si="21"/>
        <v>-341880</v>
      </c>
      <c r="M20" s="9">
        <f t="shared" si="21"/>
        <v>-101774</v>
      </c>
      <c r="N20" s="9">
        <f t="shared" si="21"/>
        <v>-33280</v>
      </c>
      <c r="O20" s="9">
        <f t="shared" si="21"/>
        <v>-8742</v>
      </c>
      <c r="P20" s="9">
        <f t="shared" si="21"/>
        <v>-2511</v>
      </c>
      <c r="Q20" s="9">
        <f t="shared" si="21"/>
        <v>-390</v>
      </c>
      <c r="R20" s="9">
        <f t="shared" si="3"/>
        <v>-2654419</v>
      </c>
      <c r="S20" s="9">
        <f t="shared" si="15"/>
        <v>2654418</v>
      </c>
      <c r="T20" s="9">
        <f t="shared" si="1"/>
        <v>-1</v>
      </c>
      <c r="U20" s="16"/>
    </row>
    <row r="21" spans="1:21" x14ac:dyDescent="0.25">
      <c r="A21" s="7">
        <v>1534</v>
      </c>
      <c r="B21" s="7">
        <v>1304</v>
      </c>
      <c r="C21" s="7">
        <v>608</v>
      </c>
      <c r="D21" s="7">
        <v>340</v>
      </c>
      <c r="E21" s="7">
        <v>180</v>
      </c>
      <c r="F21" s="7">
        <v>78</v>
      </c>
      <c r="G21" s="7">
        <v>20</v>
      </c>
      <c r="H21" s="7">
        <v>32</v>
      </c>
      <c r="I21" s="7">
        <v>1</v>
      </c>
      <c r="J21" s="9">
        <f>A31*A21</f>
        <v>-1624506</v>
      </c>
      <c r="K21" s="9">
        <f t="shared" ref="K21:Q21" si="22">B31*B21</f>
        <v>-294704</v>
      </c>
      <c r="L21" s="9">
        <f t="shared" si="22"/>
        <v>-337440</v>
      </c>
      <c r="M21" s="9">
        <f t="shared" si="22"/>
        <v>-114580</v>
      </c>
      <c r="N21" s="9">
        <f t="shared" si="22"/>
        <v>-37440</v>
      </c>
      <c r="O21" s="9">
        <f t="shared" si="22"/>
        <v>-10998</v>
      </c>
      <c r="P21" s="9">
        <f t="shared" si="22"/>
        <v>-1620</v>
      </c>
      <c r="Q21" s="9">
        <f t="shared" si="22"/>
        <v>-960</v>
      </c>
      <c r="R21" s="9">
        <f t="shared" si="3"/>
        <v>-2422248</v>
      </c>
      <c r="S21" s="9">
        <f t="shared" si="15"/>
        <v>2422247</v>
      </c>
      <c r="T21" s="9">
        <f t="shared" si="1"/>
        <v>-1</v>
      </c>
      <c r="U21" s="16"/>
    </row>
    <row r="22" spans="1:21" x14ac:dyDescent="0.25">
      <c r="A22" s="7">
        <v>1919</v>
      </c>
      <c r="B22" s="7">
        <v>1135</v>
      </c>
      <c r="C22" s="7">
        <v>508</v>
      </c>
      <c r="D22" s="7">
        <v>245</v>
      </c>
      <c r="E22" s="7">
        <v>130</v>
      </c>
      <c r="F22" s="7">
        <v>95</v>
      </c>
      <c r="G22" s="7">
        <v>59</v>
      </c>
      <c r="H22" s="7">
        <v>5</v>
      </c>
      <c r="I22" s="7">
        <v>1</v>
      </c>
      <c r="J22" s="9">
        <f>A31*A22</f>
        <v>-2032221</v>
      </c>
      <c r="K22" s="9">
        <f t="shared" ref="K22:Q22" si="23">B31*B22</f>
        <v>-256510</v>
      </c>
      <c r="L22" s="9">
        <f t="shared" si="23"/>
        <v>-281940</v>
      </c>
      <c r="M22" s="9">
        <f t="shared" si="23"/>
        <v>-82565</v>
      </c>
      <c r="N22" s="9">
        <f t="shared" si="23"/>
        <v>-27040</v>
      </c>
      <c r="O22" s="9">
        <f t="shared" si="23"/>
        <v>-13395</v>
      </c>
      <c r="P22" s="9">
        <f t="shared" si="23"/>
        <v>-4779</v>
      </c>
      <c r="Q22" s="9">
        <f t="shared" si="23"/>
        <v>-150</v>
      </c>
      <c r="R22" s="9">
        <f t="shared" si="3"/>
        <v>-2698600</v>
      </c>
      <c r="S22" s="9">
        <f t="shared" si="15"/>
        <v>2698599</v>
      </c>
      <c r="T22" s="9">
        <f t="shared" si="1"/>
        <v>-1</v>
      </c>
      <c r="U22" s="16"/>
    </row>
    <row r="24" spans="1:21" x14ac:dyDescent="0.25">
      <c r="A24" t="s">
        <v>54</v>
      </c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</row>
    <row r="26" spans="1:21" x14ac:dyDescent="0.25">
      <c r="A26" s="6">
        <f t="shared" ref="A26:H26" si="24">MIN(A3:A12)</f>
        <v>1205</v>
      </c>
      <c r="B26" s="6">
        <f t="shared" si="24"/>
        <v>1112</v>
      </c>
      <c r="C26" s="6">
        <f t="shared" si="24"/>
        <v>343</v>
      </c>
      <c r="D26" s="6">
        <f t="shared" si="24"/>
        <v>133</v>
      </c>
      <c r="E26" s="6">
        <f t="shared" si="24"/>
        <v>37</v>
      </c>
      <c r="F26" s="6">
        <f t="shared" si="24"/>
        <v>8</v>
      </c>
      <c r="G26" s="6">
        <f t="shared" si="24"/>
        <v>4</v>
      </c>
      <c r="H26" s="6">
        <f t="shared" si="24"/>
        <v>4</v>
      </c>
      <c r="I26" s="6">
        <v>0</v>
      </c>
    </row>
    <row r="27" spans="1:21" x14ac:dyDescent="0.25">
      <c r="A27" s="7">
        <f t="shared" ref="A27:H27" si="25">MAX(A13:A22)</f>
        <v>2264</v>
      </c>
      <c r="B27" s="7">
        <f t="shared" si="25"/>
        <v>1338</v>
      </c>
      <c r="C27" s="7">
        <f t="shared" si="25"/>
        <v>898</v>
      </c>
      <c r="D27" s="7">
        <f t="shared" si="25"/>
        <v>470</v>
      </c>
      <c r="E27" s="7">
        <f t="shared" si="25"/>
        <v>245</v>
      </c>
      <c r="F27" s="7">
        <f t="shared" si="25"/>
        <v>149</v>
      </c>
      <c r="G27" s="7">
        <f t="shared" si="25"/>
        <v>85</v>
      </c>
      <c r="H27" s="7">
        <f t="shared" si="25"/>
        <v>34</v>
      </c>
      <c r="I27" s="7">
        <v>1</v>
      </c>
    </row>
    <row r="29" spans="1:21" x14ac:dyDescent="0.25">
      <c r="A29" t="s">
        <v>55</v>
      </c>
      <c r="J29"/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-1059</v>
      </c>
      <c r="B31" s="2">
        <f t="shared" ref="B31:H31" si="26">SUM(B26-B27)</f>
        <v>-226</v>
      </c>
      <c r="C31" s="2">
        <f t="shared" si="26"/>
        <v>-555</v>
      </c>
      <c r="D31" s="2">
        <f t="shared" si="26"/>
        <v>-337</v>
      </c>
      <c r="E31" s="2">
        <f t="shared" si="26"/>
        <v>-208</v>
      </c>
      <c r="F31" s="2">
        <f t="shared" si="26"/>
        <v>-141</v>
      </c>
      <c r="G31" s="2">
        <f t="shared" si="26"/>
        <v>-81</v>
      </c>
      <c r="H31" s="2">
        <f t="shared" si="26"/>
        <v>-30</v>
      </c>
      <c r="J31"/>
    </row>
    <row r="33" spans="1:22" x14ac:dyDescent="0.25">
      <c r="A33" t="s">
        <v>10</v>
      </c>
      <c r="B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1656</v>
      </c>
      <c r="B35" s="2">
        <v>1312</v>
      </c>
      <c r="C35" s="2">
        <v>638</v>
      </c>
      <c r="D35" s="2">
        <v>249</v>
      </c>
      <c r="E35" s="2">
        <v>111</v>
      </c>
      <c r="F35" s="2">
        <v>75</v>
      </c>
      <c r="G35" s="2">
        <v>45</v>
      </c>
      <c r="H35" s="2">
        <v>10</v>
      </c>
      <c r="I35" s="3">
        <v>0</v>
      </c>
      <c r="J35" s="5">
        <f t="shared" ref="J35:Q35" si="27">A31*A35</f>
        <v>-1753704</v>
      </c>
      <c r="K35" s="5">
        <f t="shared" si="27"/>
        <v>-296512</v>
      </c>
      <c r="L35" s="5">
        <f t="shared" si="27"/>
        <v>-354090</v>
      </c>
      <c r="M35" s="5">
        <f t="shared" si="27"/>
        <v>-83913</v>
      </c>
      <c r="N35" s="5">
        <f t="shared" si="27"/>
        <v>-23088</v>
      </c>
      <c r="O35" s="5">
        <f t="shared" si="27"/>
        <v>-10575</v>
      </c>
      <c r="P35" s="5">
        <f t="shared" si="27"/>
        <v>-3645</v>
      </c>
      <c r="Q35" s="5">
        <f t="shared" si="27"/>
        <v>-300</v>
      </c>
      <c r="R35" s="14">
        <f>SUM(J35:Q35)</f>
        <v>-2525827</v>
      </c>
      <c r="S35" s="14">
        <f>MEDIAN(S3:S22)</f>
        <v>2413626.5</v>
      </c>
      <c r="T35" s="14">
        <v>1</v>
      </c>
      <c r="U35" s="14">
        <f>SUM(R35+S35+T35)</f>
        <v>-112199.5</v>
      </c>
      <c r="V35" s="2">
        <f>IF(U35&gt;0,0,1)</f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D995-3EC3-4121-B66E-CAB508F1B723}">
  <dimension ref="A1:V35"/>
  <sheetViews>
    <sheetView zoomScale="70" zoomScaleNormal="70" workbookViewId="0">
      <selection activeCell="K30" sqref="K30"/>
    </sheetView>
  </sheetViews>
  <sheetFormatPr defaultRowHeight="15" x14ac:dyDescent="0.25"/>
  <cols>
    <col min="10" max="10" width="13.140625" bestFit="1" customWidth="1"/>
    <col min="11" max="12" width="11.42578125" bestFit="1" customWidth="1"/>
    <col min="13" max="13" width="11" bestFit="1" customWidth="1"/>
    <col min="14" max="15" width="10.7109375" bestFit="1" customWidth="1"/>
    <col min="18" max="18" width="17.7109375" bestFit="1" customWidth="1"/>
    <col min="19" max="19" width="14.42578125" bestFit="1" customWidth="1"/>
    <col min="22" max="22" width="21.140625" bestFit="1" customWidth="1"/>
  </cols>
  <sheetData>
    <row r="1" spans="1:21" x14ac:dyDescent="0.25">
      <c r="A1" t="s">
        <v>11</v>
      </c>
      <c r="J1" s="1"/>
    </row>
    <row r="2" spans="1:2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1" x14ac:dyDescent="0.25">
      <c r="A3" s="6">
        <v>1470</v>
      </c>
      <c r="B3" s="6">
        <v>1440</v>
      </c>
      <c r="C3" s="6">
        <v>713</v>
      </c>
      <c r="D3" s="6">
        <v>244</v>
      </c>
      <c r="E3" s="6">
        <v>123</v>
      </c>
      <c r="F3" s="6">
        <v>53</v>
      </c>
      <c r="G3" s="6">
        <v>40</v>
      </c>
      <c r="H3" s="6">
        <v>13</v>
      </c>
      <c r="I3" s="6">
        <v>0</v>
      </c>
      <c r="J3" s="8">
        <f>A31*A3</f>
        <v>-1547910</v>
      </c>
      <c r="K3" s="8">
        <f t="shared" ref="K3:Q3" si="0">B31*B3</f>
        <v>-228960</v>
      </c>
      <c r="L3" s="8">
        <f t="shared" si="0"/>
        <v>-431365</v>
      </c>
      <c r="M3" s="8">
        <f t="shared" si="0"/>
        <v>-77104</v>
      </c>
      <c r="N3" s="8">
        <f t="shared" si="0"/>
        <v>-26568</v>
      </c>
      <c r="O3" s="8">
        <f t="shared" si="0"/>
        <v>-6678</v>
      </c>
      <c r="P3" s="8">
        <f t="shared" si="0"/>
        <v>-3800</v>
      </c>
      <c r="Q3" s="8">
        <f t="shared" si="0"/>
        <v>-416</v>
      </c>
      <c r="R3" s="8">
        <f>SUM(J3:Q3)</f>
        <v>-2322801</v>
      </c>
      <c r="S3" s="8">
        <f>ABS(R3)+1</f>
        <v>2322802</v>
      </c>
      <c r="T3" s="8">
        <f t="shared" ref="T3:T22" si="1">R3+S3</f>
        <v>1</v>
      </c>
      <c r="U3" s="16"/>
    </row>
    <row r="4" spans="1:21" x14ac:dyDescent="0.25">
      <c r="A4" s="6">
        <v>1927</v>
      </c>
      <c r="B4" s="6">
        <v>1325</v>
      </c>
      <c r="C4" s="6">
        <v>498</v>
      </c>
      <c r="D4" s="6">
        <v>193</v>
      </c>
      <c r="E4" s="6">
        <v>77</v>
      </c>
      <c r="F4" s="6">
        <v>38</v>
      </c>
      <c r="G4" s="6">
        <v>36</v>
      </c>
      <c r="H4" s="6">
        <v>2</v>
      </c>
      <c r="I4" s="6">
        <v>0</v>
      </c>
      <c r="J4" s="8">
        <f>A31*A4</f>
        <v>-2029131</v>
      </c>
      <c r="K4" s="8">
        <f t="shared" ref="K4:Q4" si="2">B31*B4</f>
        <v>-210675</v>
      </c>
      <c r="L4" s="8">
        <f t="shared" si="2"/>
        <v>-301290</v>
      </c>
      <c r="M4" s="8">
        <f t="shared" si="2"/>
        <v>-60988</v>
      </c>
      <c r="N4" s="8">
        <f t="shared" si="2"/>
        <v>-16632</v>
      </c>
      <c r="O4" s="8">
        <f t="shared" si="2"/>
        <v>-4788</v>
      </c>
      <c r="P4" s="8">
        <f t="shared" si="2"/>
        <v>-3420</v>
      </c>
      <c r="Q4" s="8">
        <f t="shared" si="2"/>
        <v>-64</v>
      </c>
      <c r="R4" s="8">
        <f t="shared" ref="R4:R22" si="3">SUM(J4:Q4)</f>
        <v>-2626988</v>
      </c>
      <c r="S4" s="8">
        <f t="shared" ref="S4:S12" si="4">ABS(R4)+1</f>
        <v>2626989</v>
      </c>
      <c r="T4" s="8">
        <f t="shared" si="1"/>
        <v>1</v>
      </c>
      <c r="U4" s="16"/>
    </row>
    <row r="5" spans="1:21" x14ac:dyDescent="0.25">
      <c r="A5" s="6">
        <v>1633</v>
      </c>
      <c r="B5" s="6">
        <v>1364</v>
      </c>
      <c r="C5" s="6">
        <v>636</v>
      </c>
      <c r="D5" s="6">
        <v>262</v>
      </c>
      <c r="E5" s="6">
        <v>104</v>
      </c>
      <c r="F5" s="6">
        <v>69</v>
      </c>
      <c r="G5" s="6">
        <v>9</v>
      </c>
      <c r="H5" s="6">
        <v>19</v>
      </c>
      <c r="I5" s="6">
        <v>0</v>
      </c>
      <c r="J5" s="8">
        <f>A31*A5</f>
        <v>-1719549</v>
      </c>
      <c r="K5" s="8">
        <f t="shared" ref="K5:Q5" si="5">B31*B5</f>
        <v>-216876</v>
      </c>
      <c r="L5" s="8">
        <f t="shared" si="5"/>
        <v>-384780</v>
      </c>
      <c r="M5" s="8">
        <f t="shared" si="5"/>
        <v>-82792</v>
      </c>
      <c r="N5" s="8">
        <f t="shared" si="5"/>
        <v>-22464</v>
      </c>
      <c r="O5" s="8">
        <f t="shared" si="5"/>
        <v>-8694</v>
      </c>
      <c r="P5" s="8">
        <f t="shared" si="5"/>
        <v>-855</v>
      </c>
      <c r="Q5" s="8">
        <f t="shared" si="5"/>
        <v>-608</v>
      </c>
      <c r="R5" s="8">
        <f t="shared" si="3"/>
        <v>-2436618</v>
      </c>
      <c r="S5" s="8">
        <f t="shared" si="4"/>
        <v>2436619</v>
      </c>
      <c r="T5" s="8">
        <f t="shared" si="1"/>
        <v>1</v>
      </c>
      <c r="U5" s="16"/>
    </row>
    <row r="6" spans="1:21" x14ac:dyDescent="0.25">
      <c r="A6" s="6">
        <v>1257</v>
      </c>
      <c r="B6" s="6">
        <v>1255</v>
      </c>
      <c r="C6" s="6">
        <v>840</v>
      </c>
      <c r="D6" s="6">
        <v>420</v>
      </c>
      <c r="E6" s="6">
        <v>226</v>
      </c>
      <c r="F6" s="6">
        <v>49</v>
      </c>
      <c r="G6" s="6">
        <v>30</v>
      </c>
      <c r="H6" s="6">
        <v>19</v>
      </c>
      <c r="I6" s="6">
        <v>0</v>
      </c>
      <c r="J6" s="8">
        <f>A31*A6</f>
        <v>-1323621</v>
      </c>
      <c r="K6" s="8">
        <f t="shared" ref="K6:Q6" si="6">B31*B6</f>
        <v>-199545</v>
      </c>
      <c r="L6" s="8">
        <f t="shared" si="6"/>
        <v>-508200</v>
      </c>
      <c r="M6" s="8">
        <f t="shared" si="6"/>
        <v>-132720</v>
      </c>
      <c r="N6" s="8">
        <f t="shared" si="6"/>
        <v>-48816</v>
      </c>
      <c r="O6" s="8">
        <f t="shared" si="6"/>
        <v>-6174</v>
      </c>
      <c r="P6" s="8">
        <f t="shared" si="6"/>
        <v>-2850</v>
      </c>
      <c r="Q6" s="8">
        <f t="shared" si="6"/>
        <v>-608</v>
      </c>
      <c r="R6" s="8">
        <f t="shared" si="3"/>
        <v>-2222534</v>
      </c>
      <c r="S6" s="8">
        <f t="shared" si="4"/>
        <v>2222535</v>
      </c>
      <c r="T6" s="8">
        <f t="shared" si="1"/>
        <v>1</v>
      </c>
      <c r="U6" s="16"/>
    </row>
    <row r="7" spans="1:21" x14ac:dyDescent="0.25">
      <c r="A7" s="6">
        <v>1196</v>
      </c>
      <c r="B7" s="6">
        <v>1254</v>
      </c>
      <c r="C7" s="6">
        <v>919</v>
      </c>
      <c r="D7" s="6">
        <v>384</v>
      </c>
      <c r="E7" s="6">
        <v>186</v>
      </c>
      <c r="F7" s="6">
        <v>96</v>
      </c>
      <c r="G7" s="6">
        <v>36</v>
      </c>
      <c r="H7" s="6">
        <v>25</v>
      </c>
      <c r="I7" s="6">
        <v>0</v>
      </c>
      <c r="J7" s="8">
        <f>A31*A7</f>
        <v>-1259388</v>
      </c>
      <c r="K7" s="8">
        <f t="shared" ref="K7:Q7" si="7">B31*B7</f>
        <v>-199386</v>
      </c>
      <c r="L7" s="8">
        <f t="shared" si="7"/>
        <v>-555995</v>
      </c>
      <c r="M7" s="8">
        <f t="shared" si="7"/>
        <v>-121344</v>
      </c>
      <c r="N7" s="8">
        <f t="shared" si="7"/>
        <v>-40176</v>
      </c>
      <c r="O7" s="8">
        <f t="shared" si="7"/>
        <v>-12096</v>
      </c>
      <c r="P7" s="8">
        <f t="shared" si="7"/>
        <v>-3420</v>
      </c>
      <c r="Q7" s="8">
        <f t="shared" si="7"/>
        <v>-800</v>
      </c>
      <c r="R7" s="8">
        <f t="shared" si="3"/>
        <v>-2192605</v>
      </c>
      <c r="S7" s="8">
        <f t="shared" si="4"/>
        <v>2192606</v>
      </c>
      <c r="T7" s="8">
        <f t="shared" si="1"/>
        <v>1</v>
      </c>
      <c r="U7" s="16"/>
    </row>
    <row r="8" spans="1:21" x14ac:dyDescent="0.25">
      <c r="A8" s="6">
        <v>1760</v>
      </c>
      <c r="B8" s="6">
        <v>1267</v>
      </c>
      <c r="C8" s="6">
        <v>695</v>
      </c>
      <c r="D8" s="6">
        <v>236</v>
      </c>
      <c r="E8" s="6">
        <v>91</v>
      </c>
      <c r="F8" s="6">
        <v>25</v>
      </c>
      <c r="G8" s="6">
        <v>4</v>
      </c>
      <c r="H8" s="6">
        <v>18</v>
      </c>
      <c r="I8" s="6">
        <v>0</v>
      </c>
      <c r="J8" s="8">
        <f>A31*A8</f>
        <v>-1853280</v>
      </c>
      <c r="K8" s="8">
        <f t="shared" ref="K8:Q8" si="8">B31*B8</f>
        <v>-201453</v>
      </c>
      <c r="L8" s="8">
        <f t="shared" si="8"/>
        <v>-420475</v>
      </c>
      <c r="M8" s="8">
        <f t="shared" si="8"/>
        <v>-74576</v>
      </c>
      <c r="N8" s="8">
        <f t="shared" si="8"/>
        <v>-19656</v>
      </c>
      <c r="O8" s="8">
        <f t="shared" si="8"/>
        <v>-3150</v>
      </c>
      <c r="P8" s="8">
        <f t="shared" si="8"/>
        <v>-380</v>
      </c>
      <c r="Q8" s="8">
        <f t="shared" si="8"/>
        <v>-576</v>
      </c>
      <c r="R8" s="8">
        <f t="shared" si="3"/>
        <v>-2573546</v>
      </c>
      <c r="S8" s="8">
        <f t="shared" si="4"/>
        <v>2573547</v>
      </c>
      <c r="T8" s="8">
        <f t="shared" si="1"/>
        <v>1</v>
      </c>
      <c r="U8" s="16"/>
    </row>
    <row r="9" spans="1:21" x14ac:dyDescent="0.25">
      <c r="A9" s="6">
        <v>1186</v>
      </c>
      <c r="B9" s="6">
        <v>1469</v>
      </c>
      <c r="C9" s="6">
        <v>896</v>
      </c>
      <c r="D9" s="6">
        <v>352</v>
      </c>
      <c r="E9" s="6">
        <v>101</v>
      </c>
      <c r="F9" s="6">
        <v>53</v>
      </c>
      <c r="G9" s="6">
        <v>20</v>
      </c>
      <c r="H9" s="6">
        <v>19</v>
      </c>
      <c r="I9" s="6">
        <v>0</v>
      </c>
      <c r="J9" s="8">
        <f>A31*A9</f>
        <v>-1248858</v>
      </c>
      <c r="K9" s="8">
        <f t="shared" ref="K9:Q9" si="9">B31*B9</f>
        <v>-233571</v>
      </c>
      <c r="L9" s="8">
        <f t="shared" si="9"/>
        <v>-542080</v>
      </c>
      <c r="M9" s="8">
        <f t="shared" si="9"/>
        <v>-111232</v>
      </c>
      <c r="N9" s="8">
        <f t="shared" si="9"/>
        <v>-21816</v>
      </c>
      <c r="O9" s="8">
        <f t="shared" si="9"/>
        <v>-6678</v>
      </c>
      <c r="P9" s="8">
        <f t="shared" si="9"/>
        <v>-1900</v>
      </c>
      <c r="Q9" s="8">
        <f t="shared" si="9"/>
        <v>-608</v>
      </c>
      <c r="R9" s="8">
        <f t="shared" si="3"/>
        <v>-2166743</v>
      </c>
      <c r="S9" s="8">
        <f t="shared" si="4"/>
        <v>2166744</v>
      </c>
      <c r="T9" s="8">
        <f t="shared" si="1"/>
        <v>1</v>
      </c>
      <c r="U9" s="16"/>
    </row>
    <row r="10" spans="1:21" x14ac:dyDescent="0.25">
      <c r="A10" s="6">
        <v>1448</v>
      </c>
      <c r="B10" s="6">
        <v>1285</v>
      </c>
      <c r="C10" s="6">
        <v>798</v>
      </c>
      <c r="D10" s="6">
        <v>337</v>
      </c>
      <c r="E10" s="6">
        <v>96</v>
      </c>
      <c r="F10" s="6">
        <v>81</v>
      </c>
      <c r="G10" s="6">
        <v>26</v>
      </c>
      <c r="H10" s="6">
        <v>25</v>
      </c>
      <c r="I10" s="6">
        <v>0</v>
      </c>
      <c r="J10" s="8">
        <f>A31*A10</f>
        <v>-1524744</v>
      </c>
      <c r="K10" s="8">
        <f t="shared" ref="K10:Q10" si="10">B31*B10</f>
        <v>-204315</v>
      </c>
      <c r="L10" s="8">
        <f t="shared" si="10"/>
        <v>-482790</v>
      </c>
      <c r="M10" s="8">
        <f t="shared" si="10"/>
        <v>-106492</v>
      </c>
      <c r="N10" s="8">
        <f t="shared" si="10"/>
        <v>-20736</v>
      </c>
      <c r="O10" s="8">
        <f t="shared" si="10"/>
        <v>-10206</v>
      </c>
      <c r="P10" s="8">
        <f t="shared" si="10"/>
        <v>-2470</v>
      </c>
      <c r="Q10" s="8">
        <f t="shared" si="10"/>
        <v>-800</v>
      </c>
      <c r="R10" s="8">
        <f t="shared" si="3"/>
        <v>-2352553</v>
      </c>
      <c r="S10" s="8">
        <f t="shared" si="4"/>
        <v>2352554</v>
      </c>
      <c r="T10" s="8">
        <f t="shared" si="1"/>
        <v>1</v>
      </c>
      <c r="U10" s="16"/>
    </row>
    <row r="11" spans="1:21" x14ac:dyDescent="0.25">
      <c r="A11" s="6">
        <v>2416</v>
      </c>
      <c r="B11" s="6">
        <v>1181</v>
      </c>
      <c r="C11" s="6">
        <v>320</v>
      </c>
      <c r="D11" s="6">
        <v>131</v>
      </c>
      <c r="E11" s="6">
        <v>37</v>
      </c>
      <c r="F11" s="6">
        <v>3</v>
      </c>
      <c r="G11" s="6">
        <v>4</v>
      </c>
      <c r="H11" s="6">
        <v>4</v>
      </c>
      <c r="I11" s="6">
        <v>0</v>
      </c>
      <c r="J11" s="8">
        <f>A31*A11</f>
        <v>-2544048</v>
      </c>
      <c r="K11" s="8">
        <f t="shared" ref="K11:Q11" si="11">B31*B11</f>
        <v>-187779</v>
      </c>
      <c r="L11" s="8">
        <f t="shared" si="11"/>
        <v>-193600</v>
      </c>
      <c r="M11" s="8">
        <f t="shared" si="11"/>
        <v>-41396</v>
      </c>
      <c r="N11" s="8">
        <f t="shared" si="11"/>
        <v>-7992</v>
      </c>
      <c r="O11" s="8">
        <f t="shared" si="11"/>
        <v>-378</v>
      </c>
      <c r="P11" s="8">
        <f t="shared" si="11"/>
        <v>-380</v>
      </c>
      <c r="Q11" s="8">
        <f t="shared" si="11"/>
        <v>-128</v>
      </c>
      <c r="R11" s="8">
        <f t="shared" si="3"/>
        <v>-2975701</v>
      </c>
      <c r="S11" s="8">
        <f t="shared" si="4"/>
        <v>2975702</v>
      </c>
      <c r="T11" s="8">
        <f t="shared" si="1"/>
        <v>1</v>
      </c>
      <c r="U11" s="16"/>
    </row>
    <row r="12" spans="1:21" x14ac:dyDescent="0.25">
      <c r="A12" s="6">
        <v>1265</v>
      </c>
      <c r="B12" s="6">
        <v>1258</v>
      </c>
      <c r="C12" s="6">
        <v>781</v>
      </c>
      <c r="D12" s="6">
        <v>404</v>
      </c>
      <c r="E12" s="6">
        <v>196</v>
      </c>
      <c r="F12" s="6">
        <v>106</v>
      </c>
      <c r="G12" s="6">
        <v>54</v>
      </c>
      <c r="H12" s="6">
        <v>32</v>
      </c>
      <c r="I12" s="6">
        <v>0</v>
      </c>
      <c r="J12" s="8">
        <f>A31*A12</f>
        <v>-1332045</v>
      </c>
      <c r="K12" s="8">
        <f t="shared" ref="K12:Q12" si="12">B31*B12</f>
        <v>-200022</v>
      </c>
      <c r="L12" s="8">
        <f t="shared" si="12"/>
        <v>-472505</v>
      </c>
      <c r="M12" s="8">
        <f t="shared" si="12"/>
        <v>-127664</v>
      </c>
      <c r="N12" s="8">
        <f t="shared" si="12"/>
        <v>-42336</v>
      </c>
      <c r="O12" s="8">
        <f t="shared" si="12"/>
        <v>-13356</v>
      </c>
      <c r="P12" s="8">
        <f t="shared" si="12"/>
        <v>-5130</v>
      </c>
      <c r="Q12" s="8">
        <f t="shared" si="12"/>
        <v>-1024</v>
      </c>
      <c r="R12" s="8">
        <f t="shared" si="3"/>
        <v>-2194082</v>
      </c>
      <c r="S12" s="8">
        <f t="shared" si="4"/>
        <v>2194083</v>
      </c>
      <c r="T12" s="8">
        <f t="shared" si="1"/>
        <v>1</v>
      </c>
      <c r="U12" s="16"/>
    </row>
    <row r="13" spans="1:21" x14ac:dyDescent="0.25">
      <c r="A13" s="7">
        <v>1294</v>
      </c>
      <c r="B13" s="7">
        <v>1340</v>
      </c>
      <c r="C13" s="7">
        <v>782</v>
      </c>
      <c r="D13" s="7">
        <v>416</v>
      </c>
      <c r="E13" s="7">
        <v>157</v>
      </c>
      <c r="F13" s="7">
        <v>62</v>
      </c>
      <c r="G13" s="7">
        <v>32</v>
      </c>
      <c r="H13" s="7">
        <v>13</v>
      </c>
      <c r="I13" s="7">
        <v>1</v>
      </c>
      <c r="J13" s="9">
        <f>A31*A13</f>
        <v>-1362582</v>
      </c>
      <c r="K13" s="9">
        <f t="shared" ref="K13:Q13" si="13">B31*B13</f>
        <v>-213060</v>
      </c>
      <c r="L13" s="9">
        <f t="shared" si="13"/>
        <v>-473110</v>
      </c>
      <c r="M13" s="9">
        <f t="shared" si="13"/>
        <v>-131456</v>
      </c>
      <c r="N13" s="9">
        <f t="shared" si="13"/>
        <v>-33912</v>
      </c>
      <c r="O13" s="9">
        <f t="shared" si="13"/>
        <v>-7812</v>
      </c>
      <c r="P13" s="9">
        <f t="shared" si="13"/>
        <v>-3040</v>
      </c>
      <c r="Q13" s="9">
        <f t="shared" si="13"/>
        <v>-416</v>
      </c>
      <c r="R13" s="9">
        <f t="shared" si="3"/>
        <v>-2225388</v>
      </c>
      <c r="S13" s="9">
        <f>ABS(R13)-1</f>
        <v>2225387</v>
      </c>
      <c r="T13" s="9">
        <f t="shared" si="1"/>
        <v>-1</v>
      </c>
      <c r="U13" s="16"/>
    </row>
    <row r="14" spans="1:21" x14ac:dyDescent="0.25">
      <c r="A14" s="7">
        <v>1083</v>
      </c>
      <c r="B14" s="7">
        <v>1130</v>
      </c>
      <c r="C14" s="7">
        <v>925</v>
      </c>
      <c r="D14" s="7">
        <v>447</v>
      </c>
      <c r="E14" s="7">
        <v>253</v>
      </c>
      <c r="F14" s="7">
        <v>129</v>
      </c>
      <c r="G14" s="7">
        <v>99</v>
      </c>
      <c r="H14" s="7">
        <v>30</v>
      </c>
      <c r="I14" s="7">
        <v>1</v>
      </c>
      <c r="J14" s="9">
        <f>A31*A14</f>
        <v>-1140399</v>
      </c>
      <c r="K14" s="9">
        <f t="shared" ref="K14:Q14" si="14">B31*B14</f>
        <v>-179670</v>
      </c>
      <c r="L14" s="9">
        <f t="shared" si="14"/>
        <v>-559625</v>
      </c>
      <c r="M14" s="9">
        <f t="shared" si="14"/>
        <v>-141252</v>
      </c>
      <c r="N14" s="9">
        <f t="shared" si="14"/>
        <v>-54648</v>
      </c>
      <c r="O14" s="9">
        <f t="shared" si="14"/>
        <v>-16254</v>
      </c>
      <c r="P14" s="9">
        <f t="shared" si="14"/>
        <v>-9405</v>
      </c>
      <c r="Q14" s="9">
        <f t="shared" si="14"/>
        <v>-960</v>
      </c>
      <c r="R14" s="9">
        <f t="shared" si="3"/>
        <v>-2102213</v>
      </c>
      <c r="S14" s="9">
        <f t="shared" ref="S14:S22" si="15">ABS(R14)-1</f>
        <v>2102212</v>
      </c>
      <c r="T14" s="9">
        <f t="shared" si="1"/>
        <v>-1</v>
      </c>
      <c r="U14" s="16"/>
    </row>
    <row r="15" spans="1:21" x14ac:dyDescent="0.25">
      <c r="A15" s="7">
        <v>2239</v>
      </c>
      <c r="B15" s="7">
        <v>1079</v>
      </c>
      <c r="C15" s="7">
        <v>473</v>
      </c>
      <c r="D15" s="7">
        <v>171</v>
      </c>
      <c r="E15" s="7">
        <v>74</v>
      </c>
      <c r="F15" s="7">
        <v>43</v>
      </c>
      <c r="G15" s="7">
        <v>14</v>
      </c>
      <c r="H15" s="7">
        <v>3</v>
      </c>
      <c r="I15" s="7">
        <v>1</v>
      </c>
      <c r="J15" s="9">
        <f>A31*A15</f>
        <v>-2357667</v>
      </c>
      <c r="K15" s="9">
        <f t="shared" ref="K15:Q15" si="16">B31*B15</f>
        <v>-171561</v>
      </c>
      <c r="L15" s="9">
        <f t="shared" si="16"/>
        <v>-286165</v>
      </c>
      <c r="M15" s="9">
        <f t="shared" si="16"/>
        <v>-54036</v>
      </c>
      <c r="N15" s="9">
        <f t="shared" si="16"/>
        <v>-15984</v>
      </c>
      <c r="O15" s="9">
        <f t="shared" si="16"/>
        <v>-5418</v>
      </c>
      <c r="P15" s="9">
        <f t="shared" si="16"/>
        <v>-1330</v>
      </c>
      <c r="Q15" s="9">
        <f t="shared" si="16"/>
        <v>-96</v>
      </c>
      <c r="R15" s="9">
        <f t="shared" si="3"/>
        <v>-2892257</v>
      </c>
      <c r="S15" s="9">
        <f t="shared" si="15"/>
        <v>2892256</v>
      </c>
      <c r="T15" s="9">
        <f t="shared" si="1"/>
        <v>-1</v>
      </c>
      <c r="U15" s="16"/>
    </row>
    <row r="16" spans="1:21" x14ac:dyDescent="0.25">
      <c r="A16" s="7">
        <v>1509</v>
      </c>
      <c r="B16" s="7">
        <v>1176</v>
      </c>
      <c r="C16" s="7">
        <v>774</v>
      </c>
      <c r="D16" s="7">
        <v>400</v>
      </c>
      <c r="E16" s="7">
        <v>150</v>
      </c>
      <c r="F16" s="7">
        <v>67</v>
      </c>
      <c r="G16" s="7">
        <v>16</v>
      </c>
      <c r="H16" s="7">
        <v>4</v>
      </c>
      <c r="I16" s="7">
        <v>1</v>
      </c>
      <c r="J16" s="9">
        <f>A31*A16</f>
        <v>-1588977</v>
      </c>
      <c r="K16" s="9">
        <f t="shared" ref="K16:Q16" si="17">B31*B16</f>
        <v>-186984</v>
      </c>
      <c r="L16" s="9">
        <f t="shared" si="17"/>
        <v>-468270</v>
      </c>
      <c r="M16" s="9">
        <f t="shared" si="17"/>
        <v>-126400</v>
      </c>
      <c r="N16" s="9">
        <f t="shared" si="17"/>
        <v>-32400</v>
      </c>
      <c r="O16" s="9">
        <f t="shared" si="17"/>
        <v>-8442</v>
      </c>
      <c r="P16" s="9">
        <f t="shared" si="17"/>
        <v>-1520</v>
      </c>
      <c r="Q16" s="9">
        <f t="shared" si="17"/>
        <v>-128</v>
      </c>
      <c r="R16" s="9">
        <f t="shared" si="3"/>
        <v>-2413121</v>
      </c>
      <c r="S16" s="9">
        <f t="shared" si="15"/>
        <v>2413120</v>
      </c>
      <c r="T16" s="9">
        <f t="shared" si="1"/>
        <v>-1</v>
      </c>
      <c r="U16" s="16"/>
    </row>
    <row r="17" spans="1:21" x14ac:dyDescent="0.25">
      <c r="A17" s="7">
        <v>1490</v>
      </c>
      <c r="B17" s="7">
        <v>1206</v>
      </c>
      <c r="C17" s="7">
        <v>649</v>
      </c>
      <c r="D17" s="7">
        <v>385</v>
      </c>
      <c r="E17" s="7">
        <v>168</v>
      </c>
      <c r="F17" s="7">
        <v>113</v>
      </c>
      <c r="G17" s="7">
        <v>63</v>
      </c>
      <c r="H17" s="7">
        <v>22</v>
      </c>
      <c r="I17" s="7">
        <v>1</v>
      </c>
      <c r="J17" s="9">
        <f>A31*A17</f>
        <v>-1568970</v>
      </c>
      <c r="K17" s="9">
        <f t="shared" ref="K17:Q17" si="18">B31*B17</f>
        <v>-191754</v>
      </c>
      <c r="L17" s="9">
        <f t="shared" si="18"/>
        <v>-392645</v>
      </c>
      <c r="M17" s="9">
        <f t="shared" si="18"/>
        <v>-121660</v>
      </c>
      <c r="N17" s="9">
        <f t="shared" si="18"/>
        <v>-36288</v>
      </c>
      <c r="O17" s="9">
        <f t="shared" si="18"/>
        <v>-14238</v>
      </c>
      <c r="P17" s="9">
        <f t="shared" si="18"/>
        <v>-5985</v>
      </c>
      <c r="Q17" s="9">
        <f t="shared" si="18"/>
        <v>-704</v>
      </c>
      <c r="R17" s="9">
        <f t="shared" si="3"/>
        <v>-2332244</v>
      </c>
      <c r="S17" s="9">
        <f t="shared" si="15"/>
        <v>2332243</v>
      </c>
      <c r="T17" s="9">
        <f t="shared" si="1"/>
        <v>-1</v>
      </c>
      <c r="U17" s="16"/>
    </row>
    <row r="18" spans="1:21" x14ac:dyDescent="0.25">
      <c r="A18" s="7">
        <v>1387</v>
      </c>
      <c r="B18" s="7">
        <v>1112</v>
      </c>
      <c r="C18" s="7">
        <v>807</v>
      </c>
      <c r="D18" s="7">
        <v>403</v>
      </c>
      <c r="E18" s="7">
        <v>221</v>
      </c>
      <c r="F18" s="7">
        <v>125</v>
      </c>
      <c r="G18" s="7">
        <v>30</v>
      </c>
      <c r="H18" s="7">
        <v>11</v>
      </c>
      <c r="I18" s="7">
        <v>1</v>
      </c>
      <c r="J18" s="9">
        <f>A31*A18</f>
        <v>-1460511</v>
      </c>
      <c r="K18" s="9">
        <f t="shared" ref="K18:Q18" si="19">B31*B18</f>
        <v>-176808</v>
      </c>
      <c r="L18" s="9">
        <f t="shared" si="19"/>
        <v>-488235</v>
      </c>
      <c r="M18" s="9">
        <f t="shared" si="19"/>
        <v>-127348</v>
      </c>
      <c r="N18" s="9">
        <f t="shared" si="19"/>
        <v>-47736</v>
      </c>
      <c r="O18" s="9">
        <f t="shared" si="19"/>
        <v>-15750</v>
      </c>
      <c r="P18" s="9">
        <f t="shared" si="19"/>
        <v>-2850</v>
      </c>
      <c r="Q18" s="9">
        <f t="shared" si="19"/>
        <v>-352</v>
      </c>
      <c r="R18" s="9">
        <f t="shared" si="3"/>
        <v>-2319590</v>
      </c>
      <c r="S18" s="9">
        <f t="shared" si="15"/>
        <v>2319589</v>
      </c>
      <c r="T18" s="9">
        <f t="shared" si="1"/>
        <v>-1</v>
      </c>
      <c r="U18" s="16"/>
    </row>
    <row r="19" spans="1:21" x14ac:dyDescent="0.25">
      <c r="A19" s="7">
        <v>1747</v>
      </c>
      <c r="B19" s="7">
        <v>1201</v>
      </c>
      <c r="C19" s="7">
        <v>564</v>
      </c>
      <c r="D19" s="7">
        <v>353</v>
      </c>
      <c r="E19" s="7">
        <v>122</v>
      </c>
      <c r="F19" s="7">
        <v>61</v>
      </c>
      <c r="G19" s="7">
        <v>31</v>
      </c>
      <c r="H19" s="7">
        <v>17</v>
      </c>
      <c r="I19" s="7">
        <v>1</v>
      </c>
      <c r="J19" s="9">
        <f>A31*A19</f>
        <v>-1839591</v>
      </c>
      <c r="K19" s="9">
        <f t="shared" ref="K19:Q19" si="20">B31*B19</f>
        <v>-190959</v>
      </c>
      <c r="L19" s="9">
        <f t="shared" si="20"/>
        <v>-341220</v>
      </c>
      <c r="M19" s="9">
        <f t="shared" si="20"/>
        <v>-111548</v>
      </c>
      <c r="N19" s="9">
        <f t="shared" si="20"/>
        <v>-26352</v>
      </c>
      <c r="O19" s="9">
        <f t="shared" si="20"/>
        <v>-7686</v>
      </c>
      <c r="P19" s="9">
        <f t="shared" si="20"/>
        <v>-2945</v>
      </c>
      <c r="Q19" s="9">
        <f t="shared" si="20"/>
        <v>-544</v>
      </c>
      <c r="R19" s="9">
        <f t="shared" si="3"/>
        <v>-2520845</v>
      </c>
      <c r="S19" s="9">
        <f t="shared" si="15"/>
        <v>2520844</v>
      </c>
      <c r="T19" s="9">
        <f t="shared" si="1"/>
        <v>-1</v>
      </c>
      <c r="U19" s="16"/>
    </row>
    <row r="20" spans="1:21" x14ac:dyDescent="0.25">
      <c r="A20" s="7">
        <v>1679</v>
      </c>
      <c r="B20" s="7">
        <v>1090</v>
      </c>
      <c r="C20" s="7">
        <v>655</v>
      </c>
      <c r="D20" s="7">
        <v>299</v>
      </c>
      <c r="E20" s="7">
        <v>239</v>
      </c>
      <c r="F20" s="7">
        <v>67</v>
      </c>
      <c r="G20" s="7">
        <v>33</v>
      </c>
      <c r="H20" s="7">
        <v>34</v>
      </c>
      <c r="I20" s="7">
        <v>1</v>
      </c>
      <c r="J20" s="9">
        <f>A31*A20</f>
        <v>-1767987</v>
      </c>
      <c r="K20" s="9">
        <f t="shared" ref="K20:Q20" si="21">B31*B20</f>
        <v>-173310</v>
      </c>
      <c r="L20" s="9">
        <f t="shared" si="21"/>
        <v>-396275</v>
      </c>
      <c r="M20" s="9">
        <f t="shared" si="21"/>
        <v>-94484</v>
      </c>
      <c r="N20" s="9">
        <f t="shared" si="21"/>
        <v>-51624</v>
      </c>
      <c r="O20" s="9">
        <f t="shared" si="21"/>
        <v>-8442</v>
      </c>
      <c r="P20" s="9">
        <f t="shared" si="21"/>
        <v>-3135</v>
      </c>
      <c r="Q20" s="9">
        <f t="shared" si="21"/>
        <v>-1088</v>
      </c>
      <c r="R20" s="9">
        <f t="shared" si="3"/>
        <v>-2496345</v>
      </c>
      <c r="S20" s="9">
        <f t="shared" si="15"/>
        <v>2496344</v>
      </c>
      <c r="T20" s="9">
        <f t="shared" si="1"/>
        <v>-1</v>
      </c>
      <c r="U20" s="16"/>
    </row>
    <row r="21" spans="1:21" x14ac:dyDescent="0.25">
      <c r="A21" s="7">
        <v>1553</v>
      </c>
      <c r="B21" s="7">
        <v>1291</v>
      </c>
      <c r="C21" s="7">
        <v>608</v>
      </c>
      <c r="D21" s="7">
        <v>327</v>
      </c>
      <c r="E21" s="7">
        <v>193</v>
      </c>
      <c r="F21" s="7">
        <v>73</v>
      </c>
      <c r="G21" s="7">
        <v>23</v>
      </c>
      <c r="H21" s="7">
        <v>28</v>
      </c>
      <c r="I21" s="7">
        <v>1</v>
      </c>
      <c r="J21" s="9">
        <f>A31*A21</f>
        <v>-1635309</v>
      </c>
      <c r="K21" s="9">
        <f t="shared" ref="K21:Q21" si="22">B31*B21</f>
        <v>-205269</v>
      </c>
      <c r="L21" s="9">
        <f t="shared" si="22"/>
        <v>-367840</v>
      </c>
      <c r="M21" s="9">
        <f t="shared" si="22"/>
        <v>-103332</v>
      </c>
      <c r="N21" s="9">
        <f t="shared" si="22"/>
        <v>-41688</v>
      </c>
      <c r="O21" s="9">
        <f t="shared" si="22"/>
        <v>-9198</v>
      </c>
      <c r="P21" s="9">
        <f t="shared" si="22"/>
        <v>-2185</v>
      </c>
      <c r="Q21" s="9">
        <f t="shared" si="22"/>
        <v>-896</v>
      </c>
      <c r="R21" s="9">
        <f t="shared" si="3"/>
        <v>-2365717</v>
      </c>
      <c r="S21" s="9">
        <f t="shared" si="15"/>
        <v>2365716</v>
      </c>
      <c r="T21" s="9">
        <f t="shared" si="1"/>
        <v>-1</v>
      </c>
      <c r="U21" s="16"/>
    </row>
    <row r="22" spans="1:21" x14ac:dyDescent="0.25">
      <c r="A22" s="7">
        <v>1748</v>
      </c>
      <c r="B22" s="7">
        <v>1168</v>
      </c>
      <c r="C22" s="7">
        <v>608</v>
      </c>
      <c r="D22" s="7">
        <v>266</v>
      </c>
      <c r="E22" s="7">
        <v>117</v>
      </c>
      <c r="F22" s="7">
        <v>109</v>
      </c>
      <c r="G22" s="7">
        <v>68</v>
      </c>
      <c r="H22" s="7">
        <v>12</v>
      </c>
      <c r="I22" s="7">
        <v>1</v>
      </c>
      <c r="J22" s="9">
        <f>A31*A22</f>
        <v>-1840644</v>
      </c>
      <c r="K22" s="9">
        <f t="shared" ref="K22:Q22" si="23">B31*B22</f>
        <v>-185712</v>
      </c>
      <c r="L22" s="9">
        <f t="shared" si="23"/>
        <v>-367840</v>
      </c>
      <c r="M22" s="9">
        <f t="shared" si="23"/>
        <v>-84056</v>
      </c>
      <c r="N22" s="9">
        <f t="shared" si="23"/>
        <v>-25272</v>
      </c>
      <c r="O22" s="9">
        <f t="shared" si="23"/>
        <v>-13734</v>
      </c>
      <c r="P22" s="9">
        <f t="shared" si="23"/>
        <v>-6460</v>
      </c>
      <c r="Q22" s="9">
        <f t="shared" si="23"/>
        <v>-384</v>
      </c>
      <c r="R22" s="9">
        <f t="shared" si="3"/>
        <v>-2524102</v>
      </c>
      <c r="S22" s="9">
        <f t="shared" si="15"/>
        <v>2524101</v>
      </c>
      <c r="T22" s="9">
        <f t="shared" si="1"/>
        <v>-1</v>
      </c>
      <c r="U22" s="16"/>
    </row>
    <row r="23" spans="1:21" x14ac:dyDescent="0.25">
      <c r="J23" s="1"/>
    </row>
    <row r="24" spans="1:21" x14ac:dyDescent="0.25">
      <c r="A24" t="s">
        <v>54</v>
      </c>
      <c r="J24" s="1"/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  <c r="J25" s="1"/>
    </row>
    <row r="26" spans="1:21" x14ac:dyDescent="0.25">
      <c r="A26" s="6">
        <f t="shared" ref="A26:H26" si="24">MIN(A3:A12)</f>
        <v>1186</v>
      </c>
      <c r="B26" s="6">
        <f t="shared" si="24"/>
        <v>1181</v>
      </c>
      <c r="C26" s="6">
        <f t="shared" si="24"/>
        <v>320</v>
      </c>
      <c r="D26" s="6">
        <f t="shared" si="24"/>
        <v>131</v>
      </c>
      <c r="E26" s="6">
        <f t="shared" si="24"/>
        <v>37</v>
      </c>
      <c r="F26" s="6">
        <f t="shared" si="24"/>
        <v>3</v>
      </c>
      <c r="G26" s="6">
        <f t="shared" si="24"/>
        <v>4</v>
      </c>
      <c r="H26" s="6">
        <f t="shared" si="24"/>
        <v>2</v>
      </c>
      <c r="I26" s="6">
        <v>0</v>
      </c>
      <c r="J26" s="1"/>
    </row>
    <row r="27" spans="1:21" x14ac:dyDescent="0.25">
      <c r="A27" s="7">
        <f t="shared" ref="A27:H27" si="25">MAX(A13:A22)</f>
        <v>2239</v>
      </c>
      <c r="B27" s="7">
        <f t="shared" si="25"/>
        <v>1340</v>
      </c>
      <c r="C27" s="7">
        <f t="shared" si="25"/>
        <v>925</v>
      </c>
      <c r="D27" s="7">
        <f t="shared" si="25"/>
        <v>447</v>
      </c>
      <c r="E27" s="7">
        <f t="shared" si="25"/>
        <v>253</v>
      </c>
      <c r="F27" s="7">
        <f t="shared" si="25"/>
        <v>129</v>
      </c>
      <c r="G27" s="7">
        <f t="shared" si="25"/>
        <v>99</v>
      </c>
      <c r="H27" s="7">
        <f t="shared" si="25"/>
        <v>34</v>
      </c>
      <c r="I27" s="7">
        <v>1</v>
      </c>
      <c r="J27" s="1"/>
    </row>
    <row r="28" spans="1:21" x14ac:dyDescent="0.25">
      <c r="J28" s="1"/>
    </row>
    <row r="29" spans="1:21" x14ac:dyDescent="0.25">
      <c r="A29" t="s">
        <v>55</v>
      </c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-1053</v>
      </c>
      <c r="B31" s="2">
        <f t="shared" ref="B31:H31" si="26">SUM(B26-B27)</f>
        <v>-159</v>
      </c>
      <c r="C31" s="2">
        <f t="shared" si="26"/>
        <v>-605</v>
      </c>
      <c r="D31" s="2">
        <f t="shared" si="26"/>
        <v>-316</v>
      </c>
      <c r="E31" s="2">
        <f t="shared" si="26"/>
        <v>-216</v>
      </c>
      <c r="F31" s="2">
        <f t="shared" si="26"/>
        <v>-126</v>
      </c>
      <c r="G31" s="2">
        <f t="shared" si="26"/>
        <v>-95</v>
      </c>
      <c r="H31" s="2">
        <f t="shared" si="26"/>
        <v>-32</v>
      </c>
    </row>
    <row r="32" spans="1:21" x14ac:dyDescent="0.25">
      <c r="J32" s="1"/>
    </row>
    <row r="33" spans="1:22" x14ac:dyDescent="0.25">
      <c r="A33" t="s">
        <v>12</v>
      </c>
      <c r="B33" s="1"/>
      <c r="J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1510</v>
      </c>
      <c r="B35" s="2">
        <v>1339</v>
      </c>
      <c r="C35" s="2">
        <v>702</v>
      </c>
      <c r="D35" s="2">
        <v>283</v>
      </c>
      <c r="E35" s="2">
        <v>126</v>
      </c>
      <c r="F35" s="2">
        <v>74</v>
      </c>
      <c r="G35" s="2">
        <v>45</v>
      </c>
      <c r="H35" s="2">
        <v>17</v>
      </c>
      <c r="I35" s="3">
        <v>0</v>
      </c>
      <c r="J35" s="5">
        <f t="shared" ref="J35:Q35" si="27">A31*A35</f>
        <v>-1590030</v>
      </c>
      <c r="K35" s="5">
        <f t="shared" si="27"/>
        <v>-212901</v>
      </c>
      <c r="L35" s="5">
        <f t="shared" si="27"/>
        <v>-424710</v>
      </c>
      <c r="M35" s="5">
        <f t="shared" si="27"/>
        <v>-89428</v>
      </c>
      <c r="N35" s="5">
        <f t="shared" si="27"/>
        <v>-27216</v>
      </c>
      <c r="O35" s="5">
        <f t="shared" si="27"/>
        <v>-9324</v>
      </c>
      <c r="P35" s="5">
        <f t="shared" si="27"/>
        <v>-4275</v>
      </c>
      <c r="Q35" s="5">
        <f t="shared" si="27"/>
        <v>-544</v>
      </c>
      <c r="R35" s="14">
        <f>SUM(J35:Q35)</f>
        <v>-2358428</v>
      </c>
      <c r="S35" s="14">
        <f>MEDIAN(S3:S22)</f>
        <v>2359135</v>
      </c>
      <c r="T35" s="14">
        <v>1</v>
      </c>
      <c r="U35" s="14">
        <f>SUM(R35+S35+T35)</f>
        <v>708</v>
      </c>
      <c r="V35" s="2">
        <f>IF(U35&gt;0,0,1)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B4BF-4C24-4ABD-A665-10F61C601DD4}">
  <dimension ref="A1:V35"/>
  <sheetViews>
    <sheetView zoomScale="70" zoomScaleNormal="70" workbookViewId="0"/>
  </sheetViews>
  <sheetFormatPr defaultRowHeight="15" x14ac:dyDescent="0.25"/>
  <cols>
    <col min="10" max="10" width="13.140625" bestFit="1" customWidth="1"/>
    <col min="11" max="11" width="11" bestFit="1" customWidth="1"/>
    <col min="12" max="12" width="11.42578125" bestFit="1" customWidth="1"/>
    <col min="13" max="13" width="11" bestFit="1" customWidth="1"/>
    <col min="14" max="15" width="10.7109375" bestFit="1" customWidth="1"/>
    <col min="17" max="17" width="10.7109375" bestFit="1" customWidth="1"/>
    <col min="18" max="18" width="17.7109375" bestFit="1" customWidth="1"/>
    <col min="19" max="19" width="14.42578125" bestFit="1" customWidth="1"/>
    <col min="20" max="20" width="5.7109375" bestFit="1" customWidth="1"/>
    <col min="21" max="21" width="11" bestFit="1" customWidth="1"/>
    <col min="22" max="22" width="21.140625" bestFit="1" customWidth="1"/>
  </cols>
  <sheetData>
    <row r="1" spans="1:21" x14ac:dyDescent="0.25">
      <c r="A1" t="s">
        <v>13</v>
      </c>
      <c r="J1" s="1"/>
    </row>
    <row r="2" spans="1:2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1" x14ac:dyDescent="0.25">
      <c r="A3" s="6">
        <v>1537</v>
      </c>
      <c r="B3" s="6">
        <v>1323</v>
      </c>
      <c r="C3" s="6">
        <v>770</v>
      </c>
      <c r="D3" s="6">
        <v>263</v>
      </c>
      <c r="E3" s="6">
        <v>108</v>
      </c>
      <c r="F3" s="6">
        <v>41</v>
      </c>
      <c r="G3" s="6">
        <v>45</v>
      </c>
      <c r="H3" s="6">
        <v>9</v>
      </c>
      <c r="I3" s="6">
        <v>0</v>
      </c>
      <c r="J3" s="8">
        <f>A31*A3</f>
        <v>-1543148</v>
      </c>
      <c r="K3" s="8">
        <f t="shared" ref="K3:Q3" si="0">B31*B3</f>
        <v>-185220</v>
      </c>
      <c r="L3" s="8">
        <f t="shared" si="0"/>
        <v>-412720</v>
      </c>
      <c r="M3" s="8">
        <f t="shared" si="0"/>
        <v>-103096</v>
      </c>
      <c r="N3" s="8">
        <f t="shared" si="0"/>
        <v>-23544</v>
      </c>
      <c r="O3" s="8">
        <f t="shared" si="0"/>
        <v>-6806</v>
      </c>
      <c r="P3" s="8">
        <f t="shared" si="0"/>
        <v>-4770</v>
      </c>
      <c r="Q3" s="8">
        <f t="shared" si="0"/>
        <v>-243</v>
      </c>
      <c r="R3" s="8">
        <f>SUM(J3:Q3)</f>
        <v>-2279547</v>
      </c>
      <c r="S3" s="8">
        <f>ABS(R3)+1</f>
        <v>2279548</v>
      </c>
      <c r="T3" s="8">
        <f t="shared" ref="T3:T22" si="1">R3+S3</f>
        <v>1</v>
      </c>
      <c r="U3" s="16"/>
    </row>
    <row r="4" spans="1:21" x14ac:dyDescent="0.25">
      <c r="A4" s="6">
        <v>2060</v>
      </c>
      <c r="B4" s="6">
        <v>1176</v>
      </c>
      <c r="C4" s="6">
        <v>544</v>
      </c>
      <c r="D4" s="6">
        <v>191</v>
      </c>
      <c r="E4" s="6">
        <v>58</v>
      </c>
      <c r="F4" s="6">
        <v>48</v>
      </c>
      <c r="G4" s="6">
        <v>17</v>
      </c>
      <c r="H4" s="6">
        <v>2</v>
      </c>
      <c r="I4" s="6">
        <v>0</v>
      </c>
      <c r="J4" s="8">
        <f>A31*A4</f>
        <v>-2068240</v>
      </c>
      <c r="K4" s="8">
        <f t="shared" ref="K4:Q4" si="2">B31*B4</f>
        <v>-164640</v>
      </c>
      <c r="L4" s="8">
        <f t="shared" si="2"/>
        <v>-291584</v>
      </c>
      <c r="M4" s="8">
        <f t="shared" si="2"/>
        <v>-74872</v>
      </c>
      <c r="N4" s="8">
        <f t="shared" si="2"/>
        <v>-12644</v>
      </c>
      <c r="O4" s="8">
        <f t="shared" si="2"/>
        <v>-7968</v>
      </c>
      <c r="P4" s="8">
        <f t="shared" si="2"/>
        <v>-1802</v>
      </c>
      <c r="Q4" s="8">
        <f t="shared" si="2"/>
        <v>-54</v>
      </c>
      <c r="R4" s="8">
        <f t="shared" ref="R4:R22" si="3">SUM(J4:Q4)</f>
        <v>-2621804</v>
      </c>
      <c r="S4" s="8">
        <f t="shared" ref="S4:S12" si="4">ABS(R4)+1</f>
        <v>2621805</v>
      </c>
      <c r="T4" s="8">
        <f t="shared" si="1"/>
        <v>1</v>
      </c>
      <c r="U4" s="16"/>
    </row>
    <row r="5" spans="1:21" x14ac:dyDescent="0.25">
      <c r="A5" s="6">
        <v>1658</v>
      </c>
      <c r="B5" s="6">
        <v>1245</v>
      </c>
      <c r="C5" s="6">
        <v>681</v>
      </c>
      <c r="D5" s="6">
        <v>310</v>
      </c>
      <c r="E5" s="6">
        <v>134</v>
      </c>
      <c r="F5" s="6">
        <v>45</v>
      </c>
      <c r="G5" s="6">
        <v>10</v>
      </c>
      <c r="H5" s="6">
        <v>13</v>
      </c>
      <c r="I5" s="6">
        <v>0</v>
      </c>
      <c r="J5" s="8">
        <f>A31*A5</f>
        <v>-1664632</v>
      </c>
      <c r="K5" s="8">
        <f t="shared" ref="K5:Q5" si="5">B31*B5</f>
        <v>-174300</v>
      </c>
      <c r="L5" s="8">
        <f t="shared" si="5"/>
        <v>-365016</v>
      </c>
      <c r="M5" s="8">
        <f t="shared" si="5"/>
        <v>-121520</v>
      </c>
      <c r="N5" s="8">
        <f t="shared" si="5"/>
        <v>-29212</v>
      </c>
      <c r="O5" s="8">
        <f t="shared" si="5"/>
        <v>-7470</v>
      </c>
      <c r="P5" s="8">
        <f t="shared" si="5"/>
        <v>-1060</v>
      </c>
      <c r="Q5" s="8">
        <f t="shared" si="5"/>
        <v>-351</v>
      </c>
      <c r="R5" s="8">
        <f t="shared" si="3"/>
        <v>-2363561</v>
      </c>
      <c r="S5" s="8">
        <f t="shared" si="4"/>
        <v>2363562</v>
      </c>
      <c r="T5" s="8">
        <f t="shared" si="1"/>
        <v>1</v>
      </c>
      <c r="U5" s="16"/>
    </row>
    <row r="6" spans="1:21" x14ac:dyDescent="0.25">
      <c r="A6" s="6">
        <v>1265</v>
      </c>
      <c r="B6" s="6">
        <v>1167</v>
      </c>
      <c r="C6" s="6">
        <v>879</v>
      </c>
      <c r="D6" s="6">
        <v>440</v>
      </c>
      <c r="E6" s="6">
        <v>228</v>
      </c>
      <c r="F6" s="6">
        <v>67</v>
      </c>
      <c r="G6" s="6">
        <v>31</v>
      </c>
      <c r="H6" s="6">
        <v>19</v>
      </c>
      <c r="I6" s="6">
        <v>0</v>
      </c>
      <c r="J6" s="8">
        <f>A31*A6</f>
        <v>-1270060</v>
      </c>
      <c r="K6" s="8">
        <f t="shared" ref="K6:Q6" si="6">B31*B6</f>
        <v>-163380</v>
      </c>
      <c r="L6" s="8">
        <f t="shared" si="6"/>
        <v>-471144</v>
      </c>
      <c r="M6" s="8">
        <f t="shared" si="6"/>
        <v>-172480</v>
      </c>
      <c r="N6" s="8">
        <f t="shared" si="6"/>
        <v>-49704</v>
      </c>
      <c r="O6" s="8">
        <f t="shared" si="6"/>
        <v>-11122</v>
      </c>
      <c r="P6" s="8">
        <f t="shared" si="6"/>
        <v>-3286</v>
      </c>
      <c r="Q6" s="8">
        <f t="shared" si="6"/>
        <v>-513</v>
      </c>
      <c r="R6" s="8">
        <f t="shared" si="3"/>
        <v>-2141689</v>
      </c>
      <c r="S6" s="8">
        <f t="shared" si="4"/>
        <v>2141690</v>
      </c>
      <c r="T6" s="8">
        <f t="shared" si="1"/>
        <v>1</v>
      </c>
      <c r="U6" s="16"/>
    </row>
    <row r="7" spans="1:21" x14ac:dyDescent="0.25">
      <c r="A7" s="6">
        <v>1197</v>
      </c>
      <c r="B7" s="6">
        <v>1262</v>
      </c>
      <c r="C7" s="6">
        <v>870</v>
      </c>
      <c r="D7" s="6">
        <v>414</v>
      </c>
      <c r="E7" s="6">
        <v>213</v>
      </c>
      <c r="F7" s="6">
        <v>92</v>
      </c>
      <c r="G7" s="6">
        <v>32</v>
      </c>
      <c r="H7" s="6">
        <v>16</v>
      </c>
      <c r="I7" s="6">
        <v>0</v>
      </c>
      <c r="J7" s="8">
        <f>A31*A7</f>
        <v>-1201788</v>
      </c>
      <c r="K7" s="8">
        <f t="shared" ref="K7:Q7" si="7">B31*B7</f>
        <v>-176680</v>
      </c>
      <c r="L7" s="8">
        <f t="shared" si="7"/>
        <v>-466320</v>
      </c>
      <c r="M7" s="8">
        <f t="shared" si="7"/>
        <v>-162288</v>
      </c>
      <c r="N7" s="8">
        <f t="shared" si="7"/>
        <v>-46434</v>
      </c>
      <c r="O7" s="8">
        <f t="shared" si="7"/>
        <v>-15272</v>
      </c>
      <c r="P7" s="8">
        <f t="shared" si="7"/>
        <v>-3392</v>
      </c>
      <c r="Q7" s="8">
        <f t="shared" si="7"/>
        <v>-432</v>
      </c>
      <c r="R7" s="8">
        <f t="shared" si="3"/>
        <v>-2072606</v>
      </c>
      <c r="S7" s="8">
        <f t="shared" si="4"/>
        <v>2072607</v>
      </c>
      <c r="T7" s="8">
        <f t="shared" si="1"/>
        <v>1</v>
      </c>
      <c r="U7" s="16"/>
    </row>
    <row r="8" spans="1:21" x14ac:dyDescent="0.25">
      <c r="A8" s="6">
        <v>1784</v>
      </c>
      <c r="B8" s="6">
        <v>1230</v>
      </c>
      <c r="C8" s="6">
        <v>731</v>
      </c>
      <c r="D8" s="6">
        <v>213</v>
      </c>
      <c r="E8" s="6">
        <v>89</v>
      </c>
      <c r="F8" s="6">
        <v>27</v>
      </c>
      <c r="G8" s="6">
        <v>5</v>
      </c>
      <c r="H8" s="6">
        <v>17</v>
      </c>
      <c r="I8" s="6">
        <v>0</v>
      </c>
      <c r="J8" s="8">
        <f>A31*A8</f>
        <v>-1791136</v>
      </c>
      <c r="K8" s="8">
        <f t="shared" ref="K8:Q8" si="8">B31*B8</f>
        <v>-172200</v>
      </c>
      <c r="L8" s="8">
        <f t="shared" si="8"/>
        <v>-391816</v>
      </c>
      <c r="M8" s="8">
        <f t="shared" si="8"/>
        <v>-83496</v>
      </c>
      <c r="N8" s="8">
        <f t="shared" si="8"/>
        <v>-19402</v>
      </c>
      <c r="O8" s="8">
        <f t="shared" si="8"/>
        <v>-4482</v>
      </c>
      <c r="P8" s="8">
        <f t="shared" si="8"/>
        <v>-530</v>
      </c>
      <c r="Q8" s="8">
        <f t="shared" si="8"/>
        <v>-459</v>
      </c>
      <c r="R8" s="8">
        <f t="shared" si="3"/>
        <v>-2463521</v>
      </c>
      <c r="S8" s="8">
        <f t="shared" si="4"/>
        <v>2463522</v>
      </c>
      <c r="T8" s="8">
        <f t="shared" si="1"/>
        <v>1</v>
      </c>
      <c r="U8" s="16"/>
    </row>
    <row r="9" spans="1:21" x14ac:dyDescent="0.25">
      <c r="A9" s="6">
        <v>1343</v>
      </c>
      <c r="B9" s="6">
        <v>1380</v>
      </c>
      <c r="C9" s="6">
        <v>877</v>
      </c>
      <c r="D9" s="6">
        <v>315</v>
      </c>
      <c r="E9" s="6">
        <v>107</v>
      </c>
      <c r="F9" s="6">
        <v>39</v>
      </c>
      <c r="G9" s="6">
        <v>29</v>
      </c>
      <c r="H9" s="6">
        <v>6</v>
      </c>
      <c r="I9" s="6">
        <v>0</v>
      </c>
      <c r="J9" s="8">
        <f>A31*A9</f>
        <v>-1348372</v>
      </c>
      <c r="K9" s="8">
        <f t="shared" ref="K9:Q9" si="9">B31*B9</f>
        <v>-193200</v>
      </c>
      <c r="L9" s="8">
        <f t="shared" si="9"/>
        <v>-470072</v>
      </c>
      <c r="M9" s="8">
        <f t="shared" si="9"/>
        <v>-123480</v>
      </c>
      <c r="N9" s="8">
        <f t="shared" si="9"/>
        <v>-23326</v>
      </c>
      <c r="O9" s="8">
        <f t="shared" si="9"/>
        <v>-6474</v>
      </c>
      <c r="P9" s="8">
        <f t="shared" si="9"/>
        <v>-3074</v>
      </c>
      <c r="Q9" s="8">
        <f t="shared" si="9"/>
        <v>-162</v>
      </c>
      <c r="R9" s="8">
        <f t="shared" si="3"/>
        <v>-2168160</v>
      </c>
      <c r="S9" s="8">
        <f t="shared" si="4"/>
        <v>2168161</v>
      </c>
      <c r="T9" s="8">
        <f t="shared" si="1"/>
        <v>1</v>
      </c>
      <c r="U9" s="16"/>
    </row>
    <row r="10" spans="1:21" x14ac:dyDescent="0.25">
      <c r="A10" s="6">
        <v>1401</v>
      </c>
      <c r="B10" s="6">
        <v>1351</v>
      </c>
      <c r="C10" s="6">
        <v>837</v>
      </c>
      <c r="D10" s="6">
        <v>303</v>
      </c>
      <c r="E10" s="6">
        <v>91</v>
      </c>
      <c r="F10" s="6">
        <v>75</v>
      </c>
      <c r="G10" s="6">
        <v>22</v>
      </c>
      <c r="H10" s="6">
        <v>16</v>
      </c>
      <c r="I10" s="6">
        <v>0</v>
      </c>
      <c r="J10" s="8">
        <f>A31*A10</f>
        <v>-1406604</v>
      </c>
      <c r="K10" s="8">
        <f t="shared" ref="K10:Q10" si="10">B31*B10</f>
        <v>-189140</v>
      </c>
      <c r="L10" s="8">
        <f t="shared" si="10"/>
        <v>-448632</v>
      </c>
      <c r="M10" s="8">
        <f t="shared" si="10"/>
        <v>-118776</v>
      </c>
      <c r="N10" s="8">
        <f t="shared" si="10"/>
        <v>-19838</v>
      </c>
      <c r="O10" s="8">
        <f t="shared" si="10"/>
        <v>-12450</v>
      </c>
      <c r="P10" s="8">
        <f t="shared" si="10"/>
        <v>-2332</v>
      </c>
      <c r="Q10" s="8">
        <f t="shared" si="10"/>
        <v>-432</v>
      </c>
      <c r="R10" s="8">
        <f t="shared" si="3"/>
        <v>-2198204</v>
      </c>
      <c r="S10" s="8">
        <f t="shared" si="4"/>
        <v>2198205</v>
      </c>
      <c r="T10" s="8">
        <f t="shared" si="1"/>
        <v>1</v>
      </c>
      <c r="U10" s="16"/>
    </row>
    <row r="11" spans="1:21" x14ac:dyDescent="0.25">
      <c r="A11" s="6">
        <v>2421</v>
      </c>
      <c r="B11" s="6">
        <v>1173</v>
      </c>
      <c r="C11" s="6">
        <v>347</v>
      </c>
      <c r="D11" s="6">
        <v>112</v>
      </c>
      <c r="E11" s="6">
        <v>32</v>
      </c>
      <c r="F11" s="6">
        <v>3</v>
      </c>
      <c r="G11" s="6">
        <v>4</v>
      </c>
      <c r="H11" s="6">
        <v>4</v>
      </c>
      <c r="I11" s="6">
        <v>0</v>
      </c>
      <c r="J11" s="8">
        <f>A31*A11</f>
        <v>-2430684</v>
      </c>
      <c r="K11" s="8">
        <f t="shared" ref="K11:Q11" si="11">B31*B11</f>
        <v>-164220</v>
      </c>
      <c r="L11" s="8">
        <f t="shared" si="11"/>
        <v>-185992</v>
      </c>
      <c r="M11" s="8">
        <f t="shared" si="11"/>
        <v>-43904</v>
      </c>
      <c r="N11" s="8">
        <f t="shared" si="11"/>
        <v>-6976</v>
      </c>
      <c r="O11" s="8">
        <f t="shared" si="11"/>
        <v>-498</v>
      </c>
      <c r="P11" s="8">
        <f t="shared" si="11"/>
        <v>-424</v>
      </c>
      <c r="Q11" s="8">
        <f t="shared" si="11"/>
        <v>-108</v>
      </c>
      <c r="R11" s="8">
        <f t="shared" si="3"/>
        <v>-2832806</v>
      </c>
      <c r="S11" s="8">
        <f t="shared" si="4"/>
        <v>2832807</v>
      </c>
      <c r="T11" s="8">
        <f t="shared" si="1"/>
        <v>1</v>
      </c>
      <c r="U11" s="16"/>
    </row>
    <row r="12" spans="1:21" x14ac:dyDescent="0.25">
      <c r="A12" s="6">
        <v>1222</v>
      </c>
      <c r="B12" s="6">
        <v>1243</v>
      </c>
      <c r="C12" s="6">
        <v>838</v>
      </c>
      <c r="D12" s="6">
        <v>450</v>
      </c>
      <c r="E12" s="6">
        <v>169</v>
      </c>
      <c r="F12" s="6">
        <v>102</v>
      </c>
      <c r="G12" s="6">
        <v>43</v>
      </c>
      <c r="H12" s="6">
        <v>29</v>
      </c>
      <c r="I12" s="6">
        <v>0</v>
      </c>
      <c r="J12" s="8">
        <f>A31*A12</f>
        <v>-1226888</v>
      </c>
      <c r="K12" s="8">
        <f t="shared" ref="K12:Q12" si="12">B31*B12</f>
        <v>-174020</v>
      </c>
      <c r="L12" s="8">
        <f t="shared" si="12"/>
        <v>-449168</v>
      </c>
      <c r="M12" s="8">
        <f t="shared" si="12"/>
        <v>-176400</v>
      </c>
      <c r="N12" s="8">
        <f t="shared" si="12"/>
        <v>-36842</v>
      </c>
      <c r="O12" s="8">
        <f t="shared" si="12"/>
        <v>-16932</v>
      </c>
      <c r="P12" s="8">
        <f t="shared" si="12"/>
        <v>-4558</v>
      </c>
      <c r="Q12" s="8">
        <f t="shared" si="12"/>
        <v>-783</v>
      </c>
      <c r="R12" s="8">
        <f t="shared" si="3"/>
        <v>-2085591</v>
      </c>
      <c r="S12" s="8">
        <f t="shared" si="4"/>
        <v>2085592</v>
      </c>
      <c r="T12" s="8">
        <f t="shared" si="1"/>
        <v>1</v>
      </c>
      <c r="U12" s="16"/>
    </row>
    <row r="13" spans="1:21" x14ac:dyDescent="0.25">
      <c r="A13" s="7">
        <v>1192</v>
      </c>
      <c r="B13" s="7">
        <v>1307</v>
      </c>
      <c r="C13" s="7">
        <v>861</v>
      </c>
      <c r="D13" s="7">
        <v>437</v>
      </c>
      <c r="E13" s="7">
        <v>191</v>
      </c>
      <c r="F13" s="7">
        <v>60</v>
      </c>
      <c r="G13" s="7">
        <v>32</v>
      </c>
      <c r="H13" s="7">
        <v>16</v>
      </c>
      <c r="I13" s="7">
        <v>1</v>
      </c>
      <c r="J13" s="9">
        <f>A31*A13</f>
        <v>-1196768</v>
      </c>
      <c r="K13" s="9">
        <f t="shared" ref="K13:Q13" si="13">B31*B13</f>
        <v>-182980</v>
      </c>
      <c r="L13" s="9">
        <f t="shared" si="13"/>
        <v>-461496</v>
      </c>
      <c r="M13" s="9">
        <f t="shared" si="13"/>
        <v>-171304</v>
      </c>
      <c r="N13" s="9">
        <f t="shared" si="13"/>
        <v>-41638</v>
      </c>
      <c r="O13" s="9">
        <f t="shared" si="13"/>
        <v>-9960</v>
      </c>
      <c r="P13" s="9">
        <f t="shared" si="13"/>
        <v>-3392</v>
      </c>
      <c r="Q13" s="9">
        <f t="shared" si="13"/>
        <v>-432</v>
      </c>
      <c r="R13" s="9">
        <f t="shared" si="3"/>
        <v>-2067970</v>
      </c>
      <c r="S13" s="9">
        <f>ABS(R13)-1</f>
        <v>2067969</v>
      </c>
      <c r="T13" s="9">
        <f t="shared" si="1"/>
        <v>-1</v>
      </c>
      <c r="U13" s="16"/>
    </row>
    <row r="14" spans="1:21" x14ac:dyDescent="0.25">
      <c r="A14" s="7">
        <v>1003</v>
      </c>
      <c r="B14" s="7">
        <v>1154</v>
      </c>
      <c r="C14" s="7">
        <v>883</v>
      </c>
      <c r="D14" s="7">
        <v>504</v>
      </c>
      <c r="E14" s="7">
        <v>250</v>
      </c>
      <c r="F14" s="7">
        <v>169</v>
      </c>
      <c r="G14" s="7">
        <v>110</v>
      </c>
      <c r="H14" s="7">
        <v>23</v>
      </c>
      <c r="I14" s="7">
        <v>1</v>
      </c>
      <c r="J14" s="9">
        <f>A31*A14</f>
        <v>-1007012</v>
      </c>
      <c r="K14" s="9">
        <f t="shared" ref="K14:Q14" si="14">B31*B14</f>
        <v>-161560</v>
      </c>
      <c r="L14" s="9">
        <f t="shared" si="14"/>
        <v>-473288</v>
      </c>
      <c r="M14" s="9">
        <f t="shared" si="14"/>
        <v>-197568</v>
      </c>
      <c r="N14" s="9">
        <f t="shared" si="14"/>
        <v>-54500</v>
      </c>
      <c r="O14" s="9">
        <f t="shared" si="14"/>
        <v>-28054</v>
      </c>
      <c r="P14" s="9">
        <f t="shared" si="14"/>
        <v>-11660</v>
      </c>
      <c r="Q14" s="9">
        <f t="shared" si="14"/>
        <v>-621</v>
      </c>
      <c r="R14" s="9">
        <f t="shared" si="3"/>
        <v>-1934263</v>
      </c>
      <c r="S14" s="9">
        <f t="shared" ref="S14:S22" si="15">ABS(R14)-1</f>
        <v>1934262</v>
      </c>
      <c r="T14" s="9">
        <f t="shared" si="1"/>
        <v>-1</v>
      </c>
      <c r="U14" s="16"/>
    </row>
    <row r="15" spans="1:21" x14ac:dyDescent="0.25">
      <c r="A15" s="7">
        <v>2201</v>
      </c>
      <c r="B15" s="7">
        <v>1063</v>
      </c>
      <c r="C15" s="7">
        <v>534</v>
      </c>
      <c r="D15" s="7">
        <v>175</v>
      </c>
      <c r="E15" s="7">
        <v>63</v>
      </c>
      <c r="F15" s="7">
        <v>38</v>
      </c>
      <c r="G15" s="7">
        <v>19</v>
      </c>
      <c r="H15" s="7">
        <v>3</v>
      </c>
      <c r="I15" s="7">
        <v>1</v>
      </c>
      <c r="J15" s="9">
        <f>A31*A15</f>
        <v>-2209804</v>
      </c>
      <c r="K15" s="9">
        <f t="shared" ref="K15:Q15" si="16">B31*B15</f>
        <v>-148820</v>
      </c>
      <c r="L15" s="9">
        <f t="shared" si="16"/>
        <v>-286224</v>
      </c>
      <c r="M15" s="9">
        <f t="shared" si="16"/>
        <v>-68600</v>
      </c>
      <c r="N15" s="9">
        <f t="shared" si="16"/>
        <v>-13734</v>
      </c>
      <c r="O15" s="9">
        <f t="shared" si="16"/>
        <v>-6308</v>
      </c>
      <c r="P15" s="9">
        <f t="shared" si="16"/>
        <v>-2014</v>
      </c>
      <c r="Q15" s="9">
        <f t="shared" si="16"/>
        <v>-81</v>
      </c>
      <c r="R15" s="9">
        <f t="shared" si="3"/>
        <v>-2735585</v>
      </c>
      <c r="S15" s="9">
        <f t="shared" si="15"/>
        <v>2735584</v>
      </c>
      <c r="T15" s="9">
        <f t="shared" si="1"/>
        <v>-1</v>
      </c>
      <c r="U15" s="16"/>
    </row>
    <row r="16" spans="1:21" x14ac:dyDescent="0.25">
      <c r="A16" s="7">
        <v>1443</v>
      </c>
      <c r="B16" s="7">
        <v>1180</v>
      </c>
      <c r="C16" s="7">
        <v>825</v>
      </c>
      <c r="D16" s="7">
        <v>441</v>
      </c>
      <c r="E16" s="7">
        <v>122</v>
      </c>
      <c r="F16" s="7">
        <v>62</v>
      </c>
      <c r="G16" s="7">
        <v>19</v>
      </c>
      <c r="H16" s="7">
        <v>4</v>
      </c>
      <c r="I16" s="7">
        <v>1</v>
      </c>
      <c r="J16" s="9">
        <f>A31*A16</f>
        <v>-1448772</v>
      </c>
      <c r="K16" s="9">
        <f t="shared" ref="K16:Q16" si="17">B31*B16</f>
        <v>-165200</v>
      </c>
      <c r="L16" s="9">
        <f t="shared" si="17"/>
        <v>-442200</v>
      </c>
      <c r="M16" s="9">
        <f t="shared" si="17"/>
        <v>-172872</v>
      </c>
      <c r="N16" s="9">
        <f t="shared" si="17"/>
        <v>-26596</v>
      </c>
      <c r="O16" s="9">
        <f t="shared" si="17"/>
        <v>-10292</v>
      </c>
      <c r="P16" s="9">
        <f t="shared" si="17"/>
        <v>-2014</v>
      </c>
      <c r="Q16" s="9">
        <f t="shared" si="17"/>
        <v>-108</v>
      </c>
      <c r="R16" s="9">
        <f t="shared" si="3"/>
        <v>-2268054</v>
      </c>
      <c r="S16" s="9">
        <f t="shared" si="15"/>
        <v>2268053</v>
      </c>
      <c r="T16" s="9">
        <f t="shared" si="1"/>
        <v>-1</v>
      </c>
      <c r="U16" s="16"/>
    </row>
    <row r="17" spans="1:21" x14ac:dyDescent="0.25">
      <c r="A17" s="7">
        <v>1415</v>
      </c>
      <c r="B17" s="7">
        <v>1163</v>
      </c>
      <c r="C17" s="7">
        <v>696</v>
      </c>
      <c r="D17" s="7">
        <v>400</v>
      </c>
      <c r="E17" s="7">
        <v>191</v>
      </c>
      <c r="F17" s="7">
        <v>129</v>
      </c>
      <c r="G17" s="7">
        <v>75</v>
      </c>
      <c r="H17" s="7">
        <v>27</v>
      </c>
      <c r="I17" s="7">
        <v>1</v>
      </c>
      <c r="J17" s="9">
        <f>A31*A17</f>
        <v>-1420660</v>
      </c>
      <c r="K17" s="9">
        <f t="shared" ref="K17:Q17" si="18">B31*B17</f>
        <v>-162820</v>
      </c>
      <c r="L17" s="9">
        <f t="shared" si="18"/>
        <v>-373056</v>
      </c>
      <c r="M17" s="9">
        <f t="shared" si="18"/>
        <v>-156800</v>
      </c>
      <c r="N17" s="9">
        <f t="shared" si="18"/>
        <v>-41638</v>
      </c>
      <c r="O17" s="9">
        <f t="shared" si="18"/>
        <v>-21414</v>
      </c>
      <c r="P17" s="9">
        <f t="shared" si="18"/>
        <v>-7950</v>
      </c>
      <c r="Q17" s="9">
        <f t="shared" si="18"/>
        <v>-729</v>
      </c>
      <c r="R17" s="9">
        <f t="shared" si="3"/>
        <v>-2185067</v>
      </c>
      <c r="S17" s="9">
        <f t="shared" si="15"/>
        <v>2185066</v>
      </c>
      <c r="T17" s="9">
        <f t="shared" si="1"/>
        <v>-1</v>
      </c>
      <c r="U17" s="16"/>
    </row>
    <row r="18" spans="1:21" x14ac:dyDescent="0.25">
      <c r="A18" s="7">
        <v>1333</v>
      </c>
      <c r="B18" s="7">
        <v>1086</v>
      </c>
      <c r="C18" s="7">
        <v>848</v>
      </c>
      <c r="D18" s="7">
        <v>463</v>
      </c>
      <c r="E18" s="7">
        <v>208</v>
      </c>
      <c r="F18" s="7">
        <v>101</v>
      </c>
      <c r="G18" s="7">
        <v>40</v>
      </c>
      <c r="H18" s="7">
        <v>17</v>
      </c>
      <c r="I18" s="7">
        <v>1</v>
      </c>
      <c r="J18" s="9">
        <f>A31*A18</f>
        <v>-1338332</v>
      </c>
      <c r="K18" s="9">
        <f t="shared" ref="K18:Q18" si="19">B31*B18</f>
        <v>-152040</v>
      </c>
      <c r="L18" s="9">
        <f t="shared" si="19"/>
        <v>-454528</v>
      </c>
      <c r="M18" s="9">
        <f t="shared" si="19"/>
        <v>-181496</v>
      </c>
      <c r="N18" s="9">
        <f t="shared" si="19"/>
        <v>-45344</v>
      </c>
      <c r="O18" s="9">
        <f t="shared" si="19"/>
        <v>-16766</v>
      </c>
      <c r="P18" s="9">
        <f t="shared" si="19"/>
        <v>-4240</v>
      </c>
      <c r="Q18" s="9">
        <f t="shared" si="19"/>
        <v>-459</v>
      </c>
      <c r="R18" s="9">
        <f t="shared" si="3"/>
        <v>-2193205</v>
      </c>
      <c r="S18" s="9">
        <f t="shared" si="15"/>
        <v>2193204</v>
      </c>
      <c r="T18" s="9">
        <f t="shared" si="1"/>
        <v>-1</v>
      </c>
      <c r="U18" s="16"/>
    </row>
    <row r="19" spans="1:21" x14ac:dyDescent="0.25">
      <c r="A19" s="7">
        <v>1728</v>
      </c>
      <c r="B19" s="7">
        <v>1039</v>
      </c>
      <c r="C19" s="7">
        <v>755</v>
      </c>
      <c r="D19" s="7">
        <v>317</v>
      </c>
      <c r="E19" s="7">
        <v>140</v>
      </c>
      <c r="F19" s="7">
        <v>67</v>
      </c>
      <c r="G19" s="7">
        <v>33</v>
      </c>
      <c r="H19" s="7">
        <v>17</v>
      </c>
      <c r="I19" s="7">
        <v>1</v>
      </c>
      <c r="J19" s="9">
        <f>A31*A19</f>
        <v>-1734912</v>
      </c>
      <c r="K19" s="9">
        <f t="shared" ref="K19:Q19" si="20">B31*B19</f>
        <v>-145460</v>
      </c>
      <c r="L19" s="9">
        <f t="shared" si="20"/>
        <v>-404680</v>
      </c>
      <c r="M19" s="9">
        <f t="shared" si="20"/>
        <v>-124264</v>
      </c>
      <c r="N19" s="9">
        <f t="shared" si="20"/>
        <v>-30520</v>
      </c>
      <c r="O19" s="9">
        <f t="shared" si="20"/>
        <v>-11122</v>
      </c>
      <c r="P19" s="9">
        <f t="shared" si="20"/>
        <v>-3498</v>
      </c>
      <c r="Q19" s="9">
        <f t="shared" si="20"/>
        <v>-459</v>
      </c>
      <c r="R19" s="9">
        <f t="shared" si="3"/>
        <v>-2454915</v>
      </c>
      <c r="S19" s="9">
        <f t="shared" si="15"/>
        <v>2454914</v>
      </c>
      <c r="T19" s="9">
        <f t="shared" si="1"/>
        <v>-1</v>
      </c>
      <c r="U19" s="16"/>
    </row>
    <row r="20" spans="1:21" x14ac:dyDescent="0.25">
      <c r="A20" s="7">
        <v>1706</v>
      </c>
      <c r="B20" s="7">
        <v>1162</v>
      </c>
      <c r="C20" s="7">
        <v>646</v>
      </c>
      <c r="D20" s="7">
        <v>324</v>
      </c>
      <c r="E20" s="7">
        <v>151</v>
      </c>
      <c r="F20" s="7">
        <v>59</v>
      </c>
      <c r="G20" s="7">
        <v>19</v>
      </c>
      <c r="H20" s="7">
        <v>29</v>
      </c>
      <c r="I20" s="7">
        <v>1</v>
      </c>
      <c r="J20" s="9">
        <f>A31*A20</f>
        <v>-1712824</v>
      </c>
      <c r="K20" s="9">
        <f t="shared" ref="K20:Q20" si="21">B31*B20</f>
        <v>-162680</v>
      </c>
      <c r="L20" s="9">
        <f t="shared" si="21"/>
        <v>-346256</v>
      </c>
      <c r="M20" s="9">
        <f t="shared" si="21"/>
        <v>-127008</v>
      </c>
      <c r="N20" s="9">
        <f t="shared" si="21"/>
        <v>-32918</v>
      </c>
      <c r="O20" s="9">
        <f t="shared" si="21"/>
        <v>-9794</v>
      </c>
      <c r="P20" s="9">
        <f t="shared" si="21"/>
        <v>-2014</v>
      </c>
      <c r="Q20" s="9">
        <f t="shared" si="21"/>
        <v>-783</v>
      </c>
      <c r="R20" s="9">
        <f t="shared" si="3"/>
        <v>-2394277</v>
      </c>
      <c r="S20" s="9">
        <f t="shared" si="15"/>
        <v>2394276</v>
      </c>
      <c r="T20" s="9">
        <f t="shared" si="1"/>
        <v>-1</v>
      </c>
      <c r="U20" s="16"/>
    </row>
    <row r="21" spans="1:21" x14ac:dyDescent="0.25">
      <c r="A21" s="7">
        <v>1531</v>
      </c>
      <c r="B21" s="7">
        <v>1241</v>
      </c>
      <c r="C21" s="7">
        <v>698</v>
      </c>
      <c r="D21" s="7">
        <v>339</v>
      </c>
      <c r="E21" s="7">
        <v>171</v>
      </c>
      <c r="F21" s="7">
        <v>75</v>
      </c>
      <c r="G21" s="7">
        <v>16</v>
      </c>
      <c r="H21" s="7">
        <v>25</v>
      </c>
      <c r="I21" s="7">
        <v>1</v>
      </c>
      <c r="J21" s="9">
        <f>A31*A21</f>
        <v>-1537124</v>
      </c>
      <c r="K21" s="9">
        <f t="shared" ref="K21:Q21" si="22">B31*B21</f>
        <v>-173740</v>
      </c>
      <c r="L21" s="9">
        <f t="shared" si="22"/>
        <v>-374128</v>
      </c>
      <c r="M21" s="9">
        <f t="shared" si="22"/>
        <v>-132888</v>
      </c>
      <c r="N21" s="9">
        <f t="shared" si="22"/>
        <v>-37278</v>
      </c>
      <c r="O21" s="9">
        <f t="shared" si="22"/>
        <v>-12450</v>
      </c>
      <c r="P21" s="9">
        <f t="shared" si="22"/>
        <v>-1696</v>
      </c>
      <c r="Q21" s="9">
        <f t="shared" si="22"/>
        <v>-675</v>
      </c>
      <c r="R21" s="9">
        <f t="shared" si="3"/>
        <v>-2269979</v>
      </c>
      <c r="S21" s="9">
        <f t="shared" si="15"/>
        <v>2269978</v>
      </c>
      <c r="T21" s="9">
        <f t="shared" si="1"/>
        <v>-1</v>
      </c>
      <c r="U21" s="16"/>
    </row>
    <row r="22" spans="1:21" x14ac:dyDescent="0.25">
      <c r="A22" s="7">
        <v>1905</v>
      </c>
      <c r="B22" s="7">
        <v>1105</v>
      </c>
      <c r="C22" s="7">
        <v>585</v>
      </c>
      <c r="D22" s="7">
        <v>216</v>
      </c>
      <c r="E22" s="7">
        <v>153</v>
      </c>
      <c r="F22" s="7">
        <v>87</v>
      </c>
      <c r="G22" s="7">
        <v>38</v>
      </c>
      <c r="H22" s="7">
        <v>7</v>
      </c>
      <c r="I22" s="7">
        <v>1</v>
      </c>
      <c r="J22" s="9">
        <f>A31*A22</f>
        <v>-1912620</v>
      </c>
      <c r="K22" s="9">
        <f t="shared" ref="K22:Q22" si="23">B31*B22</f>
        <v>-154700</v>
      </c>
      <c r="L22" s="9">
        <f t="shared" si="23"/>
        <v>-313560</v>
      </c>
      <c r="M22" s="9">
        <f t="shared" si="23"/>
        <v>-84672</v>
      </c>
      <c r="N22" s="9">
        <f t="shared" si="23"/>
        <v>-33354</v>
      </c>
      <c r="O22" s="9">
        <f t="shared" si="23"/>
        <v>-14442</v>
      </c>
      <c r="P22" s="9">
        <f t="shared" si="23"/>
        <v>-4028</v>
      </c>
      <c r="Q22" s="9">
        <f t="shared" si="23"/>
        <v>-189</v>
      </c>
      <c r="R22" s="9">
        <f t="shared" si="3"/>
        <v>-2517565</v>
      </c>
      <c r="S22" s="9">
        <f t="shared" si="15"/>
        <v>2517564</v>
      </c>
      <c r="T22" s="9">
        <f t="shared" si="1"/>
        <v>-1</v>
      </c>
      <c r="U22" s="16"/>
    </row>
    <row r="23" spans="1:21" x14ac:dyDescent="0.25">
      <c r="J23" s="1"/>
    </row>
    <row r="24" spans="1:21" x14ac:dyDescent="0.25">
      <c r="A24" t="s">
        <v>54</v>
      </c>
      <c r="J24" s="1"/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  <c r="J25" s="1"/>
    </row>
    <row r="26" spans="1:21" x14ac:dyDescent="0.25">
      <c r="A26" s="6">
        <f t="shared" ref="A26:H26" si="24">MIN(A3:A12)</f>
        <v>1197</v>
      </c>
      <c r="B26" s="6">
        <f t="shared" si="24"/>
        <v>1167</v>
      </c>
      <c r="C26" s="6">
        <f t="shared" si="24"/>
        <v>347</v>
      </c>
      <c r="D26" s="6">
        <f t="shared" si="24"/>
        <v>112</v>
      </c>
      <c r="E26" s="6">
        <f t="shared" si="24"/>
        <v>32</v>
      </c>
      <c r="F26" s="6">
        <f t="shared" si="24"/>
        <v>3</v>
      </c>
      <c r="G26" s="6">
        <f t="shared" si="24"/>
        <v>4</v>
      </c>
      <c r="H26" s="6">
        <f t="shared" si="24"/>
        <v>2</v>
      </c>
      <c r="I26" s="6">
        <v>0</v>
      </c>
      <c r="J26" s="1"/>
    </row>
    <row r="27" spans="1:21" x14ac:dyDescent="0.25">
      <c r="A27" s="7">
        <f t="shared" ref="A27:H27" si="25">MAX(A13:A22)</f>
        <v>2201</v>
      </c>
      <c r="B27" s="7">
        <f t="shared" si="25"/>
        <v>1307</v>
      </c>
      <c r="C27" s="7">
        <f t="shared" si="25"/>
        <v>883</v>
      </c>
      <c r="D27" s="7">
        <f t="shared" si="25"/>
        <v>504</v>
      </c>
      <c r="E27" s="7">
        <f t="shared" si="25"/>
        <v>250</v>
      </c>
      <c r="F27" s="7">
        <f t="shared" si="25"/>
        <v>169</v>
      </c>
      <c r="G27" s="7">
        <f t="shared" si="25"/>
        <v>110</v>
      </c>
      <c r="H27" s="7">
        <f t="shared" si="25"/>
        <v>29</v>
      </c>
      <c r="I27" s="7">
        <v>1</v>
      </c>
      <c r="J27" s="1"/>
    </row>
    <row r="28" spans="1:21" x14ac:dyDescent="0.25">
      <c r="J28" s="1"/>
    </row>
    <row r="29" spans="1:21" x14ac:dyDescent="0.25">
      <c r="A29" t="s">
        <v>55</v>
      </c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-1004</v>
      </c>
      <c r="B31" s="2">
        <f t="shared" ref="B31:H31" si="26">SUM(B26-B27)</f>
        <v>-140</v>
      </c>
      <c r="C31" s="2">
        <f t="shared" si="26"/>
        <v>-536</v>
      </c>
      <c r="D31" s="2">
        <f t="shared" si="26"/>
        <v>-392</v>
      </c>
      <c r="E31" s="2">
        <f t="shared" si="26"/>
        <v>-218</v>
      </c>
      <c r="F31" s="2">
        <f t="shared" si="26"/>
        <v>-166</v>
      </c>
      <c r="G31" s="2">
        <f t="shared" si="26"/>
        <v>-106</v>
      </c>
      <c r="H31" s="2">
        <f t="shared" si="26"/>
        <v>-27</v>
      </c>
    </row>
    <row r="32" spans="1:21" x14ac:dyDescent="0.25">
      <c r="J32" s="1"/>
    </row>
    <row r="33" spans="1:22" x14ac:dyDescent="0.25">
      <c r="A33" t="s">
        <v>14</v>
      </c>
      <c r="B33" s="1"/>
      <c r="J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1662</v>
      </c>
      <c r="B35" s="2">
        <v>1261</v>
      </c>
      <c r="C35" s="2">
        <v>768</v>
      </c>
      <c r="D35" s="2">
        <v>207</v>
      </c>
      <c r="E35" s="2">
        <v>100</v>
      </c>
      <c r="F35" s="2">
        <v>64</v>
      </c>
      <c r="G35" s="2">
        <v>29</v>
      </c>
      <c r="H35" s="2">
        <v>5</v>
      </c>
      <c r="I35" s="3">
        <v>0</v>
      </c>
      <c r="J35" s="5">
        <f t="shared" ref="J35:Q35" si="27">A31*A35</f>
        <v>-1668648</v>
      </c>
      <c r="K35" s="5">
        <f t="shared" si="27"/>
        <v>-176540</v>
      </c>
      <c r="L35" s="5">
        <f t="shared" si="27"/>
        <v>-411648</v>
      </c>
      <c r="M35" s="5">
        <f t="shared" si="27"/>
        <v>-81144</v>
      </c>
      <c r="N35" s="5">
        <f t="shared" si="27"/>
        <v>-21800</v>
      </c>
      <c r="O35" s="5">
        <f t="shared" si="27"/>
        <v>-10624</v>
      </c>
      <c r="P35" s="5">
        <f t="shared" si="27"/>
        <v>-3074</v>
      </c>
      <c r="Q35" s="5">
        <f t="shared" si="27"/>
        <v>-135</v>
      </c>
      <c r="R35" s="14">
        <f>SUM(J35:Q35)</f>
        <v>-2373613</v>
      </c>
      <c r="S35" s="14">
        <f>MEDIAN(S3:S22)</f>
        <v>2269015.5</v>
      </c>
      <c r="T35" s="14">
        <v>1</v>
      </c>
      <c r="U35" s="14">
        <f>SUM(R35+S35+T35)</f>
        <v>-104596.5</v>
      </c>
      <c r="V35" s="2">
        <f>IF(U35&gt;0,0,1)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97FB-3526-4C0E-AC73-1030C6617EA5}">
  <dimension ref="A1:V35"/>
  <sheetViews>
    <sheetView topLeftCell="A34" zoomScale="70" zoomScaleNormal="70" workbookViewId="0">
      <selection activeCell="A34" sqref="A34"/>
    </sheetView>
  </sheetViews>
  <sheetFormatPr defaultRowHeight="15" x14ac:dyDescent="0.25"/>
  <cols>
    <col min="10" max="10" width="14" bestFit="1" customWidth="1"/>
    <col min="11" max="11" width="13.5703125" bestFit="1" customWidth="1"/>
    <col min="12" max="14" width="13.140625" bestFit="1" customWidth="1"/>
    <col min="15" max="16" width="14" bestFit="1" customWidth="1"/>
    <col min="17" max="17" width="14.42578125" bestFit="1" customWidth="1"/>
    <col min="18" max="18" width="17.7109375" bestFit="1" customWidth="1"/>
    <col min="19" max="19" width="14.42578125" bestFit="1" customWidth="1"/>
    <col min="20" max="20" width="5.7109375" bestFit="1" customWidth="1"/>
    <col min="21" max="21" width="13.140625" bestFit="1" customWidth="1"/>
    <col min="22" max="22" width="21.140625" bestFit="1" customWidth="1"/>
  </cols>
  <sheetData>
    <row r="1" spans="1:21" x14ac:dyDescent="0.25">
      <c r="A1" t="s">
        <v>15</v>
      </c>
      <c r="J1" s="1"/>
    </row>
    <row r="2" spans="1:2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1" x14ac:dyDescent="0.25">
      <c r="A3" s="6">
        <v>561</v>
      </c>
      <c r="B3" s="6">
        <v>440</v>
      </c>
      <c r="C3" s="6">
        <v>1312</v>
      </c>
      <c r="D3" s="6">
        <v>1374</v>
      </c>
      <c r="E3" s="6">
        <v>3255</v>
      </c>
      <c r="F3" s="6">
        <v>3275</v>
      </c>
      <c r="G3" s="6">
        <v>3255</v>
      </c>
      <c r="H3" s="6">
        <v>2912</v>
      </c>
      <c r="I3" s="6">
        <v>0</v>
      </c>
      <c r="J3" s="8">
        <f>A31*A3</f>
        <v>-1998282</v>
      </c>
      <c r="K3" s="8">
        <f t="shared" ref="K3:Q3" si="0">B31*B3</f>
        <v>-1687400</v>
      </c>
      <c r="L3" s="8">
        <f t="shared" si="0"/>
        <v>-3412512</v>
      </c>
      <c r="M3" s="8">
        <f t="shared" si="0"/>
        <v>-1552620</v>
      </c>
      <c r="N3" s="8">
        <f t="shared" si="0"/>
        <v>-8163540</v>
      </c>
      <c r="O3" s="8">
        <f t="shared" si="0"/>
        <v>-10001850</v>
      </c>
      <c r="P3" s="8">
        <f t="shared" si="0"/>
        <v>-9683625</v>
      </c>
      <c r="Q3" s="8">
        <f t="shared" si="0"/>
        <v>-14993888</v>
      </c>
      <c r="R3" s="8">
        <f>SUM(J3:Q3)</f>
        <v>-51493717</v>
      </c>
      <c r="S3" s="8">
        <f>ABS(R3)+1</f>
        <v>51493718</v>
      </c>
      <c r="T3" s="8">
        <f t="shared" ref="T3:T22" si="1">R3+S3</f>
        <v>1</v>
      </c>
      <c r="U3" s="16"/>
    </row>
    <row r="4" spans="1:21" x14ac:dyDescent="0.25">
      <c r="A4" s="6">
        <v>237</v>
      </c>
      <c r="B4" s="6">
        <v>974</v>
      </c>
      <c r="C4" s="6">
        <v>1461</v>
      </c>
      <c r="D4" s="6">
        <v>1207</v>
      </c>
      <c r="E4" s="6">
        <v>2389</v>
      </c>
      <c r="F4" s="6">
        <v>2499</v>
      </c>
      <c r="G4" s="6">
        <v>5225</v>
      </c>
      <c r="H4" s="6">
        <v>2392</v>
      </c>
      <c r="I4" s="6">
        <v>0</v>
      </c>
      <c r="J4" s="8">
        <f>A31*A4</f>
        <v>-844194</v>
      </c>
      <c r="K4" s="8">
        <f t="shared" ref="K4:Q4" si="2">B31*B4</f>
        <v>-3735290</v>
      </c>
      <c r="L4" s="8">
        <f t="shared" si="2"/>
        <v>-3800061</v>
      </c>
      <c r="M4" s="8">
        <f t="shared" si="2"/>
        <v>-1363910</v>
      </c>
      <c r="N4" s="8">
        <f t="shared" si="2"/>
        <v>-5991612</v>
      </c>
      <c r="O4" s="8">
        <f t="shared" si="2"/>
        <v>-7631946</v>
      </c>
      <c r="P4" s="8">
        <f t="shared" si="2"/>
        <v>-15544375</v>
      </c>
      <c r="Q4" s="8">
        <f t="shared" si="2"/>
        <v>-12316408</v>
      </c>
      <c r="R4" s="8">
        <f t="shared" ref="R4:R22" si="3">SUM(J4:Q4)</f>
        <v>-51227796</v>
      </c>
      <c r="S4" s="8">
        <f t="shared" ref="S4:S12" si="4">ABS(R4)+1</f>
        <v>51227797</v>
      </c>
      <c r="T4" s="8">
        <f t="shared" si="1"/>
        <v>1</v>
      </c>
      <c r="U4" s="16"/>
    </row>
    <row r="5" spans="1:21" x14ac:dyDescent="0.25">
      <c r="A5" s="6">
        <v>1</v>
      </c>
      <c r="B5" s="6">
        <v>522</v>
      </c>
      <c r="C5" s="6">
        <v>1152</v>
      </c>
      <c r="D5" s="6">
        <v>630</v>
      </c>
      <c r="E5" s="6">
        <v>1440</v>
      </c>
      <c r="F5" s="6">
        <v>5153</v>
      </c>
      <c r="G5" s="6">
        <v>7094</v>
      </c>
      <c r="H5" s="6">
        <v>392</v>
      </c>
      <c r="I5" s="6">
        <v>0</v>
      </c>
      <c r="J5" s="8">
        <f>A31*A5</f>
        <v>-3562</v>
      </c>
      <c r="K5" s="8">
        <f t="shared" ref="K5:Q5" si="5">B31*B5</f>
        <v>-2001870</v>
      </c>
      <c r="L5" s="8">
        <f t="shared" si="5"/>
        <v>-2996352</v>
      </c>
      <c r="M5" s="8">
        <f t="shared" si="5"/>
        <v>-711900</v>
      </c>
      <c r="N5" s="8">
        <f t="shared" si="5"/>
        <v>-3611520</v>
      </c>
      <c r="O5" s="8">
        <f t="shared" si="5"/>
        <v>-15737262</v>
      </c>
      <c r="P5" s="8">
        <f t="shared" si="5"/>
        <v>-21104650</v>
      </c>
      <c r="Q5" s="8">
        <f t="shared" si="5"/>
        <v>-2018408</v>
      </c>
      <c r="R5" s="8">
        <f t="shared" si="3"/>
        <v>-48185524</v>
      </c>
      <c r="S5" s="8">
        <f t="shared" si="4"/>
        <v>48185525</v>
      </c>
      <c r="T5" s="8">
        <f t="shared" si="1"/>
        <v>1</v>
      </c>
      <c r="U5" s="16"/>
    </row>
    <row r="6" spans="1:21" x14ac:dyDescent="0.25">
      <c r="A6" s="6">
        <v>606</v>
      </c>
      <c r="B6" s="6">
        <v>897</v>
      </c>
      <c r="C6" s="6">
        <v>121</v>
      </c>
      <c r="D6" s="6">
        <v>1085</v>
      </c>
      <c r="E6" s="6">
        <v>1608</v>
      </c>
      <c r="F6" s="6">
        <v>3357</v>
      </c>
      <c r="G6" s="6">
        <v>4848</v>
      </c>
      <c r="H6" s="6">
        <v>3862</v>
      </c>
      <c r="I6" s="6">
        <v>0</v>
      </c>
      <c r="J6" s="8">
        <f>A31*A6</f>
        <v>-2158572</v>
      </c>
      <c r="K6" s="8">
        <f t="shared" ref="K6:Q6" si="6">B31*B6</f>
        <v>-3439995</v>
      </c>
      <c r="L6" s="8">
        <f t="shared" si="6"/>
        <v>-314721</v>
      </c>
      <c r="M6" s="8">
        <f t="shared" si="6"/>
        <v>-1226050</v>
      </c>
      <c r="N6" s="8">
        <f t="shared" si="6"/>
        <v>-4032864</v>
      </c>
      <c r="O6" s="8">
        <f t="shared" si="6"/>
        <v>-10252278</v>
      </c>
      <c r="P6" s="8">
        <f t="shared" si="6"/>
        <v>-14422800</v>
      </c>
      <c r="Q6" s="8">
        <f t="shared" si="6"/>
        <v>-19885438</v>
      </c>
      <c r="R6" s="8">
        <f t="shared" si="3"/>
        <v>-55732718</v>
      </c>
      <c r="S6" s="8">
        <f t="shared" si="4"/>
        <v>55732719</v>
      </c>
      <c r="T6" s="8">
        <f t="shared" si="1"/>
        <v>1</v>
      </c>
      <c r="U6" s="16"/>
    </row>
    <row r="7" spans="1:21" x14ac:dyDescent="0.25">
      <c r="A7" s="6">
        <v>3560</v>
      </c>
      <c r="B7" s="6">
        <v>2483</v>
      </c>
      <c r="C7" s="6">
        <v>1709</v>
      </c>
      <c r="D7" s="6">
        <v>1120</v>
      </c>
      <c r="E7" s="6">
        <v>1132</v>
      </c>
      <c r="F7" s="6">
        <v>2453</v>
      </c>
      <c r="G7" s="6">
        <v>2719</v>
      </c>
      <c r="H7" s="6">
        <v>1208</v>
      </c>
      <c r="I7" s="6">
        <v>0</v>
      </c>
      <c r="J7" s="8">
        <f>A31*A7</f>
        <v>-12680720</v>
      </c>
      <c r="K7" s="8">
        <f t="shared" ref="K7:Q7" si="7">B31*B7</f>
        <v>-9522305</v>
      </c>
      <c r="L7" s="8">
        <f t="shared" si="7"/>
        <v>-4445109</v>
      </c>
      <c r="M7" s="8">
        <f t="shared" si="7"/>
        <v>-1265600</v>
      </c>
      <c r="N7" s="8">
        <f t="shared" si="7"/>
        <v>-2839056</v>
      </c>
      <c r="O7" s="8">
        <f t="shared" si="7"/>
        <v>-7491462</v>
      </c>
      <c r="P7" s="8">
        <f t="shared" si="7"/>
        <v>-8089025</v>
      </c>
      <c r="Q7" s="8">
        <f t="shared" si="7"/>
        <v>-6219992</v>
      </c>
      <c r="R7" s="8">
        <f t="shared" si="3"/>
        <v>-52553269</v>
      </c>
      <c r="S7" s="8">
        <f t="shared" si="4"/>
        <v>52553270</v>
      </c>
      <c r="T7" s="8">
        <f t="shared" si="1"/>
        <v>1</v>
      </c>
      <c r="U7" s="16"/>
    </row>
    <row r="8" spans="1:21" x14ac:dyDescent="0.25">
      <c r="A8" s="6">
        <v>1634</v>
      </c>
      <c r="B8" s="6">
        <v>1322</v>
      </c>
      <c r="C8" s="6">
        <v>1961</v>
      </c>
      <c r="D8" s="6">
        <v>938</v>
      </c>
      <c r="E8" s="6">
        <v>2055</v>
      </c>
      <c r="F8" s="6">
        <v>2840</v>
      </c>
      <c r="G8" s="6">
        <v>3088</v>
      </c>
      <c r="H8" s="6">
        <v>2546</v>
      </c>
      <c r="I8" s="6">
        <v>0</v>
      </c>
      <c r="J8" s="8">
        <f>A31*A8</f>
        <v>-5820308</v>
      </c>
      <c r="K8" s="8">
        <f t="shared" ref="K8:Q8" si="8">B31*B8</f>
        <v>-5069870</v>
      </c>
      <c r="L8" s="8">
        <f t="shared" si="8"/>
        <v>-5100561</v>
      </c>
      <c r="M8" s="8">
        <f t="shared" si="8"/>
        <v>-1059940</v>
      </c>
      <c r="N8" s="8">
        <f t="shared" si="8"/>
        <v>-5153940</v>
      </c>
      <c r="O8" s="8">
        <f t="shared" si="8"/>
        <v>-8673360</v>
      </c>
      <c r="P8" s="8">
        <f t="shared" si="8"/>
        <v>-9186800</v>
      </c>
      <c r="Q8" s="8">
        <f t="shared" si="8"/>
        <v>-13109354</v>
      </c>
      <c r="R8" s="8">
        <f t="shared" si="3"/>
        <v>-53174133</v>
      </c>
      <c r="S8" s="8">
        <f t="shared" si="4"/>
        <v>53174134</v>
      </c>
      <c r="T8" s="8">
        <f t="shared" si="1"/>
        <v>1</v>
      </c>
      <c r="U8" s="16"/>
    </row>
    <row r="9" spans="1:21" x14ac:dyDescent="0.25">
      <c r="A9" s="6">
        <v>1584</v>
      </c>
      <c r="B9" s="6">
        <v>1531</v>
      </c>
      <c r="C9" s="6">
        <v>2419</v>
      </c>
      <c r="D9" s="6">
        <v>2404</v>
      </c>
      <c r="E9" s="6">
        <v>2000</v>
      </c>
      <c r="F9" s="6">
        <v>1397</v>
      </c>
      <c r="G9" s="6">
        <v>3276</v>
      </c>
      <c r="H9" s="6">
        <v>1773</v>
      </c>
      <c r="I9" s="6">
        <v>0</v>
      </c>
      <c r="J9" s="8">
        <f>A31*A9</f>
        <v>-5642208</v>
      </c>
      <c r="K9" s="8">
        <f t="shared" ref="K9:Q9" si="9">B31*B9</f>
        <v>-5871385</v>
      </c>
      <c r="L9" s="8">
        <f t="shared" si="9"/>
        <v>-6291819</v>
      </c>
      <c r="M9" s="8">
        <f t="shared" si="9"/>
        <v>-2716520</v>
      </c>
      <c r="N9" s="8">
        <f t="shared" si="9"/>
        <v>-5016000</v>
      </c>
      <c r="O9" s="8">
        <f t="shared" si="9"/>
        <v>-4266438</v>
      </c>
      <c r="P9" s="8">
        <f t="shared" si="9"/>
        <v>-9746100</v>
      </c>
      <c r="Q9" s="8">
        <f t="shared" si="9"/>
        <v>-9129177</v>
      </c>
      <c r="R9" s="8">
        <f t="shared" si="3"/>
        <v>-48679647</v>
      </c>
      <c r="S9" s="8">
        <f t="shared" si="4"/>
        <v>48679648</v>
      </c>
      <c r="T9" s="8">
        <f t="shared" si="1"/>
        <v>1</v>
      </c>
      <c r="U9" s="16"/>
    </row>
    <row r="10" spans="1:21" x14ac:dyDescent="0.25">
      <c r="A10" s="6">
        <v>859</v>
      </c>
      <c r="B10" s="6">
        <v>967</v>
      </c>
      <c r="C10" s="6">
        <v>934</v>
      </c>
      <c r="D10" s="6">
        <v>1004</v>
      </c>
      <c r="E10" s="6">
        <v>3107</v>
      </c>
      <c r="F10" s="6">
        <v>4990</v>
      </c>
      <c r="G10" s="6">
        <v>3280</v>
      </c>
      <c r="H10" s="6">
        <v>1243</v>
      </c>
      <c r="I10" s="6">
        <v>0</v>
      </c>
      <c r="J10" s="8">
        <f>A31*A10</f>
        <v>-3059758</v>
      </c>
      <c r="K10" s="8">
        <f t="shared" ref="K10:Q10" si="10">B31*B10</f>
        <v>-3708445</v>
      </c>
      <c r="L10" s="8">
        <f t="shared" si="10"/>
        <v>-2429334</v>
      </c>
      <c r="M10" s="8">
        <f t="shared" si="10"/>
        <v>-1134520</v>
      </c>
      <c r="N10" s="8">
        <f t="shared" si="10"/>
        <v>-7792356</v>
      </c>
      <c r="O10" s="8">
        <f t="shared" si="10"/>
        <v>-15239460</v>
      </c>
      <c r="P10" s="8">
        <f t="shared" si="10"/>
        <v>-9758000</v>
      </c>
      <c r="Q10" s="8">
        <f t="shared" si="10"/>
        <v>-6400207</v>
      </c>
      <c r="R10" s="8">
        <f t="shared" si="3"/>
        <v>-49522080</v>
      </c>
      <c r="S10" s="8">
        <f t="shared" si="4"/>
        <v>49522081</v>
      </c>
      <c r="T10" s="8">
        <f t="shared" si="1"/>
        <v>1</v>
      </c>
      <c r="U10" s="16"/>
    </row>
    <row r="11" spans="1:21" x14ac:dyDescent="0.25">
      <c r="A11" s="6">
        <v>581</v>
      </c>
      <c r="B11" s="6">
        <v>564</v>
      </c>
      <c r="C11" s="6">
        <v>691</v>
      </c>
      <c r="D11" s="6">
        <v>1450</v>
      </c>
      <c r="E11" s="6">
        <v>2704</v>
      </c>
      <c r="F11" s="6">
        <v>3110</v>
      </c>
      <c r="G11" s="6">
        <v>4779</v>
      </c>
      <c r="H11" s="6">
        <v>2505</v>
      </c>
      <c r="I11" s="6">
        <v>0</v>
      </c>
      <c r="J11" s="8">
        <f>A31*A11</f>
        <v>-2069522</v>
      </c>
      <c r="K11" s="8">
        <f t="shared" ref="K11:Q11" si="11">B31*B11</f>
        <v>-2162940</v>
      </c>
      <c r="L11" s="8">
        <f t="shared" si="11"/>
        <v>-1797291</v>
      </c>
      <c r="M11" s="8">
        <f t="shared" si="11"/>
        <v>-1638500</v>
      </c>
      <c r="N11" s="8">
        <f t="shared" si="11"/>
        <v>-6781632</v>
      </c>
      <c r="O11" s="8">
        <f t="shared" si="11"/>
        <v>-9497940</v>
      </c>
      <c r="P11" s="8">
        <f t="shared" si="11"/>
        <v>-14217525</v>
      </c>
      <c r="Q11" s="8">
        <f t="shared" si="11"/>
        <v>-12898245</v>
      </c>
      <c r="R11" s="8">
        <f t="shared" si="3"/>
        <v>-51063595</v>
      </c>
      <c r="S11" s="8">
        <f t="shared" si="4"/>
        <v>51063596</v>
      </c>
      <c r="T11" s="8">
        <f t="shared" si="1"/>
        <v>1</v>
      </c>
      <c r="U11" s="16"/>
    </row>
    <row r="12" spans="1:21" x14ac:dyDescent="0.25">
      <c r="A12" s="6">
        <v>871</v>
      </c>
      <c r="B12" s="6">
        <v>335</v>
      </c>
      <c r="C12" s="6">
        <v>678</v>
      </c>
      <c r="D12" s="6">
        <v>1315</v>
      </c>
      <c r="E12" s="6">
        <v>2128</v>
      </c>
      <c r="F12" s="6">
        <v>3844</v>
      </c>
      <c r="G12" s="6">
        <v>4544</v>
      </c>
      <c r="H12" s="6">
        <v>2669</v>
      </c>
      <c r="I12" s="6">
        <v>0</v>
      </c>
      <c r="J12" s="8">
        <f>A31*A12</f>
        <v>-3102502</v>
      </c>
      <c r="K12" s="8">
        <f t="shared" ref="K12:Q12" si="12">B31*B12</f>
        <v>-1284725</v>
      </c>
      <c r="L12" s="8">
        <f t="shared" si="12"/>
        <v>-1763478</v>
      </c>
      <c r="M12" s="8">
        <f t="shared" si="12"/>
        <v>-1485950</v>
      </c>
      <c r="N12" s="8">
        <f t="shared" si="12"/>
        <v>-5337024</v>
      </c>
      <c r="O12" s="8">
        <f t="shared" si="12"/>
        <v>-11739576</v>
      </c>
      <c r="P12" s="8">
        <f t="shared" si="12"/>
        <v>-13518400</v>
      </c>
      <c r="Q12" s="8">
        <f t="shared" si="12"/>
        <v>-13742681</v>
      </c>
      <c r="R12" s="8">
        <f t="shared" si="3"/>
        <v>-51974336</v>
      </c>
      <c r="S12" s="8">
        <f t="shared" si="4"/>
        <v>51974337</v>
      </c>
      <c r="T12" s="8">
        <f t="shared" si="1"/>
        <v>1</v>
      </c>
      <c r="U12" s="16"/>
    </row>
    <row r="13" spans="1:21" x14ac:dyDescent="0.25">
      <c r="A13" s="7">
        <v>1268</v>
      </c>
      <c r="B13" s="7">
        <v>4170</v>
      </c>
      <c r="C13" s="7">
        <v>1608</v>
      </c>
      <c r="D13" s="7">
        <v>934</v>
      </c>
      <c r="E13" s="7">
        <v>1222</v>
      </c>
      <c r="F13" s="7">
        <v>2369</v>
      </c>
      <c r="G13" s="7">
        <v>2256</v>
      </c>
      <c r="H13" s="7">
        <v>2557</v>
      </c>
      <c r="I13" s="7">
        <v>1</v>
      </c>
      <c r="J13" s="9">
        <f>A31*A13</f>
        <v>-4516616</v>
      </c>
      <c r="K13" s="9">
        <f t="shared" ref="K13:Q13" si="13">B31*B13</f>
        <v>-15991950</v>
      </c>
      <c r="L13" s="9">
        <f t="shared" si="13"/>
        <v>-4182408</v>
      </c>
      <c r="M13" s="9">
        <f t="shared" si="13"/>
        <v>-1055420</v>
      </c>
      <c r="N13" s="9">
        <f t="shared" si="13"/>
        <v>-3064776</v>
      </c>
      <c r="O13" s="9">
        <f t="shared" si="13"/>
        <v>-7234926</v>
      </c>
      <c r="P13" s="9">
        <f t="shared" si="13"/>
        <v>-6711600</v>
      </c>
      <c r="Q13" s="9">
        <f t="shared" si="13"/>
        <v>-13165993</v>
      </c>
      <c r="R13" s="9">
        <f t="shared" si="3"/>
        <v>-55923689</v>
      </c>
      <c r="S13" s="9">
        <f>ABS(R13)-1</f>
        <v>55923688</v>
      </c>
      <c r="T13" s="9">
        <f t="shared" si="1"/>
        <v>-1</v>
      </c>
      <c r="U13" s="16"/>
    </row>
    <row r="14" spans="1:21" x14ac:dyDescent="0.25">
      <c r="A14" s="7">
        <v>3563</v>
      </c>
      <c r="B14" s="7">
        <v>2199</v>
      </c>
      <c r="C14" s="7">
        <v>2722</v>
      </c>
      <c r="D14" s="7">
        <v>1760</v>
      </c>
      <c r="E14" s="7">
        <v>1842</v>
      </c>
      <c r="F14" s="7">
        <v>1939</v>
      </c>
      <c r="G14" s="7">
        <v>1521</v>
      </c>
      <c r="H14" s="7">
        <v>838</v>
      </c>
      <c r="I14" s="7">
        <v>1</v>
      </c>
      <c r="J14" s="9">
        <f>A31*A14</f>
        <v>-12691406</v>
      </c>
      <c r="K14" s="9">
        <f t="shared" ref="K14:Q14" si="14">B31*B14</f>
        <v>-8433165</v>
      </c>
      <c r="L14" s="9">
        <f t="shared" si="14"/>
        <v>-7079922</v>
      </c>
      <c r="M14" s="9">
        <f t="shared" si="14"/>
        <v>-1988800</v>
      </c>
      <c r="N14" s="9">
        <f t="shared" si="14"/>
        <v>-4619736</v>
      </c>
      <c r="O14" s="9">
        <f t="shared" si="14"/>
        <v>-5921706</v>
      </c>
      <c r="P14" s="9">
        <f t="shared" si="14"/>
        <v>-4524975</v>
      </c>
      <c r="Q14" s="9">
        <f t="shared" si="14"/>
        <v>-4314862</v>
      </c>
      <c r="R14" s="9">
        <f t="shared" si="3"/>
        <v>-49574572</v>
      </c>
      <c r="S14" s="9">
        <f t="shared" ref="S14:S22" si="15">ABS(R14)-1</f>
        <v>49574571</v>
      </c>
      <c r="T14" s="9">
        <f t="shared" si="1"/>
        <v>-1</v>
      </c>
      <c r="U14" s="16"/>
    </row>
    <row r="15" spans="1:21" x14ac:dyDescent="0.25">
      <c r="A15" s="7">
        <v>643</v>
      </c>
      <c r="B15" s="7">
        <v>486</v>
      </c>
      <c r="C15" s="7">
        <v>1089</v>
      </c>
      <c r="D15" s="7">
        <v>1492</v>
      </c>
      <c r="E15" s="7">
        <v>2377</v>
      </c>
      <c r="F15" s="7">
        <v>2968</v>
      </c>
      <c r="G15" s="7">
        <v>3515</v>
      </c>
      <c r="H15" s="7">
        <v>3814</v>
      </c>
      <c r="I15" s="7">
        <v>1</v>
      </c>
      <c r="J15" s="9">
        <f>A31*A15</f>
        <v>-2290366</v>
      </c>
      <c r="K15" s="9">
        <f t="shared" ref="K15:Q15" si="16">B31*B15</f>
        <v>-1863810</v>
      </c>
      <c r="L15" s="9">
        <f t="shared" si="16"/>
        <v>-2832489</v>
      </c>
      <c r="M15" s="9">
        <f t="shared" si="16"/>
        <v>-1685960</v>
      </c>
      <c r="N15" s="9">
        <f t="shared" si="16"/>
        <v>-5961516</v>
      </c>
      <c r="O15" s="9">
        <f t="shared" si="16"/>
        <v>-9064272</v>
      </c>
      <c r="P15" s="9">
        <f t="shared" si="16"/>
        <v>-10457125</v>
      </c>
      <c r="Q15" s="9">
        <f t="shared" si="16"/>
        <v>-19638286</v>
      </c>
      <c r="R15" s="9">
        <f t="shared" si="3"/>
        <v>-53793824</v>
      </c>
      <c r="S15" s="9">
        <f t="shared" si="15"/>
        <v>53793823</v>
      </c>
      <c r="T15" s="9">
        <f t="shared" si="1"/>
        <v>-1</v>
      </c>
      <c r="U15" s="16"/>
    </row>
    <row r="16" spans="1:21" x14ac:dyDescent="0.25">
      <c r="A16" s="7">
        <v>368</v>
      </c>
      <c r="B16" s="7">
        <v>361</v>
      </c>
      <c r="C16" s="7">
        <v>856</v>
      </c>
      <c r="D16" s="7">
        <v>1609</v>
      </c>
      <c r="E16" s="7">
        <v>3640</v>
      </c>
      <c r="F16" s="7">
        <v>4045</v>
      </c>
      <c r="G16" s="7">
        <v>3638</v>
      </c>
      <c r="H16" s="7">
        <v>1867</v>
      </c>
      <c r="I16" s="7">
        <v>1</v>
      </c>
      <c r="J16" s="9">
        <f>A31*A16</f>
        <v>-1310816</v>
      </c>
      <c r="K16" s="9">
        <f t="shared" ref="K16:Q16" si="17">B31*B16</f>
        <v>-1384435</v>
      </c>
      <c r="L16" s="9">
        <f t="shared" si="17"/>
        <v>-2226456</v>
      </c>
      <c r="M16" s="9">
        <f t="shared" si="17"/>
        <v>-1818170</v>
      </c>
      <c r="N16" s="9">
        <f t="shared" si="17"/>
        <v>-9129120</v>
      </c>
      <c r="O16" s="9">
        <f t="shared" si="17"/>
        <v>-12353430</v>
      </c>
      <c r="P16" s="9">
        <f t="shared" si="17"/>
        <v>-10823050</v>
      </c>
      <c r="Q16" s="9">
        <f t="shared" si="17"/>
        <v>-9613183</v>
      </c>
      <c r="R16" s="9">
        <f t="shared" si="3"/>
        <v>-48658660</v>
      </c>
      <c r="S16" s="9">
        <f t="shared" si="15"/>
        <v>48658659</v>
      </c>
      <c r="T16" s="9">
        <f t="shared" si="1"/>
        <v>-1</v>
      </c>
      <c r="U16" s="16"/>
    </row>
    <row r="17" spans="1:21" x14ac:dyDescent="0.25">
      <c r="A17" s="7">
        <v>1250</v>
      </c>
      <c r="B17" s="7">
        <v>1898</v>
      </c>
      <c r="C17" s="7">
        <v>497</v>
      </c>
      <c r="D17" s="7">
        <v>691</v>
      </c>
      <c r="E17" s="7">
        <v>1818</v>
      </c>
      <c r="F17" s="7">
        <v>4451</v>
      </c>
      <c r="G17" s="7">
        <v>3058</v>
      </c>
      <c r="H17" s="7">
        <v>2721</v>
      </c>
      <c r="I17" s="7">
        <v>1</v>
      </c>
      <c r="J17" s="9">
        <f>A31*A17</f>
        <v>-4452500</v>
      </c>
      <c r="K17" s="9">
        <f t="shared" ref="K17:Q17" si="18">B31*B17</f>
        <v>-7278830</v>
      </c>
      <c r="L17" s="9">
        <f t="shared" si="18"/>
        <v>-1292697</v>
      </c>
      <c r="M17" s="9">
        <f t="shared" si="18"/>
        <v>-780830</v>
      </c>
      <c r="N17" s="9">
        <f t="shared" si="18"/>
        <v>-4559544</v>
      </c>
      <c r="O17" s="9">
        <f t="shared" si="18"/>
        <v>-13593354</v>
      </c>
      <c r="P17" s="9">
        <f t="shared" si="18"/>
        <v>-9097550</v>
      </c>
      <c r="Q17" s="9">
        <f t="shared" si="18"/>
        <v>-14010429</v>
      </c>
      <c r="R17" s="9">
        <f t="shared" si="3"/>
        <v>-55065734</v>
      </c>
      <c r="S17" s="9">
        <f t="shared" si="15"/>
        <v>55065733</v>
      </c>
      <c r="T17" s="9">
        <f t="shared" si="1"/>
        <v>-1</v>
      </c>
      <c r="U17" s="16"/>
    </row>
    <row r="18" spans="1:21" x14ac:dyDescent="0.25">
      <c r="A18" s="7">
        <v>262</v>
      </c>
      <c r="B18" s="7">
        <v>552</v>
      </c>
      <c r="C18" s="7">
        <v>797</v>
      </c>
      <c r="D18" s="7">
        <v>1559</v>
      </c>
      <c r="E18" s="7">
        <v>3061</v>
      </c>
      <c r="F18" s="7">
        <v>3924</v>
      </c>
      <c r="G18" s="7">
        <v>3717</v>
      </c>
      <c r="H18" s="7">
        <v>2512</v>
      </c>
      <c r="I18" s="7">
        <v>1</v>
      </c>
      <c r="J18" s="9">
        <f>A31*A18</f>
        <v>-933244</v>
      </c>
      <c r="K18" s="9">
        <f t="shared" ref="K18:Q18" si="19">B31*B18</f>
        <v>-2116920</v>
      </c>
      <c r="L18" s="9">
        <f t="shared" si="19"/>
        <v>-2072997</v>
      </c>
      <c r="M18" s="9">
        <f t="shared" si="19"/>
        <v>-1761670</v>
      </c>
      <c r="N18" s="9">
        <f t="shared" si="19"/>
        <v>-7676988</v>
      </c>
      <c r="O18" s="9">
        <f t="shared" si="19"/>
        <v>-11983896</v>
      </c>
      <c r="P18" s="9">
        <f t="shared" si="19"/>
        <v>-11058075</v>
      </c>
      <c r="Q18" s="9">
        <f t="shared" si="19"/>
        <v>-12934288</v>
      </c>
      <c r="R18" s="9">
        <f t="shared" si="3"/>
        <v>-50538078</v>
      </c>
      <c r="S18" s="9">
        <f t="shared" si="15"/>
        <v>50538077</v>
      </c>
      <c r="T18" s="9">
        <f t="shared" si="1"/>
        <v>-1</v>
      </c>
      <c r="U18" s="16"/>
    </row>
    <row r="19" spans="1:21" x14ac:dyDescent="0.25">
      <c r="A19" s="7">
        <v>2192</v>
      </c>
      <c r="B19" s="7">
        <v>724</v>
      </c>
      <c r="C19" s="7">
        <v>264</v>
      </c>
      <c r="D19" s="7">
        <v>1291</v>
      </c>
      <c r="E19" s="7">
        <v>1551</v>
      </c>
      <c r="F19" s="7">
        <v>2261</v>
      </c>
      <c r="G19" s="7">
        <v>3495</v>
      </c>
      <c r="H19" s="7">
        <v>4606</v>
      </c>
      <c r="I19" s="7">
        <v>1</v>
      </c>
      <c r="J19" s="9">
        <f>A31*A19</f>
        <v>-7807904</v>
      </c>
      <c r="K19" s="9">
        <f t="shared" ref="K19:Q19" si="20">B31*B19</f>
        <v>-2776540</v>
      </c>
      <c r="L19" s="9">
        <f t="shared" si="20"/>
        <v>-686664</v>
      </c>
      <c r="M19" s="9">
        <f t="shared" si="20"/>
        <v>-1458830</v>
      </c>
      <c r="N19" s="9">
        <f t="shared" si="20"/>
        <v>-3889908</v>
      </c>
      <c r="O19" s="9">
        <f t="shared" si="20"/>
        <v>-6905094</v>
      </c>
      <c r="P19" s="9">
        <f t="shared" si="20"/>
        <v>-10397625</v>
      </c>
      <c r="Q19" s="9">
        <f t="shared" si="20"/>
        <v>-23716294</v>
      </c>
      <c r="R19" s="9">
        <f t="shared" si="3"/>
        <v>-57638859</v>
      </c>
      <c r="S19" s="9">
        <f t="shared" si="15"/>
        <v>57638858</v>
      </c>
      <c r="T19" s="9">
        <f t="shared" si="1"/>
        <v>-1</v>
      </c>
      <c r="U19" s="16"/>
    </row>
    <row r="20" spans="1:21" x14ac:dyDescent="0.25">
      <c r="A20" s="7">
        <v>458</v>
      </c>
      <c r="B20" s="7">
        <v>267</v>
      </c>
      <c r="C20" s="7">
        <v>715</v>
      </c>
      <c r="D20" s="7">
        <v>692</v>
      </c>
      <c r="E20" s="7">
        <v>2510</v>
      </c>
      <c r="F20" s="7">
        <v>4387</v>
      </c>
      <c r="G20" s="7">
        <v>4712</v>
      </c>
      <c r="H20" s="7">
        <v>2643</v>
      </c>
      <c r="I20" s="7">
        <v>1</v>
      </c>
      <c r="J20" s="9">
        <f>A31*A20</f>
        <v>-1631396</v>
      </c>
      <c r="K20" s="9">
        <f t="shared" ref="K20:Q20" si="21">B31*B20</f>
        <v>-1023945</v>
      </c>
      <c r="L20" s="9">
        <f t="shared" si="21"/>
        <v>-1859715</v>
      </c>
      <c r="M20" s="9">
        <f t="shared" si="21"/>
        <v>-781960</v>
      </c>
      <c r="N20" s="9">
        <f t="shared" si="21"/>
        <v>-6295080</v>
      </c>
      <c r="O20" s="9">
        <f t="shared" si="21"/>
        <v>-13397898</v>
      </c>
      <c r="P20" s="9">
        <f t="shared" si="21"/>
        <v>-14018200</v>
      </c>
      <c r="Q20" s="9">
        <f t="shared" si="21"/>
        <v>-13608807</v>
      </c>
      <c r="R20" s="9">
        <f t="shared" si="3"/>
        <v>-52617001</v>
      </c>
      <c r="S20" s="9">
        <f t="shared" si="15"/>
        <v>52617000</v>
      </c>
      <c r="T20" s="9">
        <f t="shared" si="1"/>
        <v>-1</v>
      </c>
      <c r="U20" s="16"/>
    </row>
    <row r="21" spans="1:21" x14ac:dyDescent="0.25">
      <c r="A21" s="7">
        <v>462</v>
      </c>
      <c r="B21" s="7">
        <v>931</v>
      </c>
      <c r="C21" s="7">
        <v>2309</v>
      </c>
      <c r="D21" s="7">
        <v>600</v>
      </c>
      <c r="E21" s="7">
        <v>1817</v>
      </c>
      <c r="F21" s="7">
        <v>2764</v>
      </c>
      <c r="G21" s="7">
        <v>5694</v>
      </c>
      <c r="H21" s="7">
        <v>1807</v>
      </c>
      <c r="I21" s="7">
        <v>1</v>
      </c>
      <c r="J21" s="9">
        <f>A31*A21</f>
        <v>-1645644</v>
      </c>
      <c r="K21" s="9">
        <f t="shared" ref="K21:Q21" si="22">B31*B21</f>
        <v>-3570385</v>
      </c>
      <c r="L21" s="9">
        <f t="shared" si="22"/>
        <v>-6005709</v>
      </c>
      <c r="M21" s="9">
        <f t="shared" si="22"/>
        <v>-678000</v>
      </c>
      <c r="N21" s="9">
        <f t="shared" si="22"/>
        <v>-4557036</v>
      </c>
      <c r="O21" s="9">
        <f t="shared" si="22"/>
        <v>-8441256</v>
      </c>
      <c r="P21" s="9">
        <f t="shared" si="22"/>
        <v>-16939650</v>
      </c>
      <c r="Q21" s="9">
        <f t="shared" si="22"/>
        <v>-9304243</v>
      </c>
      <c r="R21" s="9">
        <f t="shared" si="3"/>
        <v>-51141923</v>
      </c>
      <c r="S21" s="9">
        <f t="shared" si="15"/>
        <v>51141922</v>
      </c>
      <c r="T21" s="9">
        <f t="shared" si="1"/>
        <v>-1</v>
      </c>
      <c r="U21" s="16"/>
    </row>
    <row r="22" spans="1:21" x14ac:dyDescent="0.25">
      <c r="A22" s="7">
        <v>1945</v>
      </c>
      <c r="B22" s="7">
        <v>1502</v>
      </c>
      <c r="C22" s="7">
        <v>385</v>
      </c>
      <c r="D22" s="7">
        <v>577</v>
      </c>
      <c r="E22" s="7">
        <v>946</v>
      </c>
      <c r="F22" s="7">
        <v>1736</v>
      </c>
      <c r="G22" s="7">
        <v>3752</v>
      </c>
      <c r="H22" s="7">
        <v>5541</v>
      </c>
      <c r="I22" s="7">
        <v>1</v>
      </c>
      <c r="J22" s="9">
        <f>A31*A22</f>
        <v>-6928090</v>
      </c>
      <c r="K22" s="9">
        <f t="shared" ref="K22:Q22" si="23">B31*B22</f>
        <v>-5760170</v>
      </c>
      <c r="L22" s="9">
        <f t="shared" si="23"/>
        <v>-1001385</v>
      </c>
      <c r="M22" s="9">
        <f t="shared" si="23"/>
        <v>-652010</v>
      </c>
      <c r="N22" s="9">
        <f t="shared" si="23"/>
        <v>-2372568</v>
      </c>
      <c r="O22" s="9">
        <f t="shared" si="23"/>
        <v>-5301744</v>
      </c>
      <c r="P22" s="9">
        <f t="shared" si="23"/>
        <v>-11162200</v>
      </c>
      <c r="Q22" s="9">
        <f t="shared" si="23"/>
        <v>-28530609</v>
      </c>
      <c r="R22" s="9">
        <f t="shared" si="3"/>
        <v>-61708776</v>
      </c>
      <c r="S22" s="9">
        <f t="shared" si="15"/>
        <v>61708775</v>
      </c>
      <c r="T22" s="9">
        <f t="shared" si="1"/>
        <v>-1</v>
      </c>
      <c r="U22" s="16"/>
    </row>
    <row r="23" spans="1:21" x14ac:dyDescent="0.25">
      <c r="J23" s="1"/>
    </row>
    <row r="24" spans="1:21" x14ac:dyDescent="0.25">
      <c r="A24" t="s">
        <v>54</v>
      </c>
      <c r="J24" s="1"/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  <c r="J25" s="1"/>
    </row>
    <row r="26" spans="1:21" x14ac:dyDescent="0.25">
      <c r="A26" s="6">
        <f t="shared" ref="A26:H26" si="24">MIN(A3:A12)</f>
        <v>1</v>
      </c>
      <c r="B26" s="6">
        <f t="shared" si="24"/>
        <v>335</v>
      </c>
      <c r="C26" s="6">
        <f t="shared" si="24"/>
        <v>121</v>
      </c>
      <c r="D26" s="6">
        <f t="shared" si="24"/>
        <v>630</v>
      </c>
      <c r="E26" s="6">
        <f t="shared" si="24"/>
        <v>1132</v>
      </c>
      <c r="F26" s="6">
        <f t="shared" si="24"/>
        <v>1397</v>
      </c>
      <c r="G26" s="6">
        <f t="shared" si="24"/>
        <v>2719</v>
      </c>
      <c r="H26" s="6">
        <f t="shared" si="24"/>
        <v>392</v>
      </c>
      <c r="I26" s="6">
        <v>0</v>
      </c>
      <c r="J26" s="1"/>
    </row>
    <row r="27" spans="1:21" x14ac:dyDescent="0.25">
      <c r="A27" s="7">
        <f t="shared" ref="A27:H27" si="25">MAX(A13:A22)</f>
        <v>3563</v>
      </c>
      <c r="B27" s="7">
        <f t="shared" si="25"/>
        <v>4170</v>
      </c>
      <c r="C27" s="7">
        <f t="shared" si="25"/>
        <v>2722</v>
      </c>
      <c r="D27" s="7">
        <f t="shared" si="25"/>
        <v>1760</v>
      </c>
      <c r="E27" s="7">
        <f t="shared" si="25"/>
        <v>3640</v>
      </c>
      <c r="F27" s="7">
        <f t="shared" si="25"/>
        <v>4451</v>
      </c>
      <c r="G27" s="7">
        <f t="shared" si="25"/>
        <v>5694</v>
      </c>
      <c r="H27" s="7">
        <f t="shared" si="25"/>
        <v>5541</v>
      </c>
      <c r="I27" s="7">
        <v>1</v>
      </c>
      <c r="J27" s="1"/>
    </row>
    <row r="28" spans="1:21" x14ac:dyDescent="0.25">
      <c r="J28" s="1"/>
    </row>
    <row r="29" spans="1:21" x14ac:dyDescent="0.25">
      <c r="A29" t="s">
        <v>55</v>
      </c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-3562</v>
      </c>
      <c r="B31" s="2">
        <f t="shared" ref="B31:H31" si="26">SUM(B26-B27)</f>
        <v>-3835</v>
      </c>
      <c r="C31" s="2">
        <f t="shared" si="26"/>
        <v>-2601</v>
      </c>
      <c r="D31" s="2">
        <f t="shared" si="26"/>
        <v>-1130</v>
      </c>
      <c r="E31" s="2">
        <f t="shared" si="26"/>
        <v>-2508</v>
      </c>
      <c r="F31" s="2">
        <f t="shared" si="26"/>
        <v>-3054</v>
      </c>
      <c r="G31" s="2">
        <f t="shared" si="26"/>
        <v>-2975</v>
      </c>
      <c r="H31" s="2">
        <f t="shared" si="26"/>
        <v>-5149</v>
      </c>
    </row>
    <row r="32" spans="1:21" x14ac:dyDescent="0.25">
      <c r="J32" s="1"/>
    </row>
    <row r="33" spans="1:22" x14ac:dyDescent="0.25">
      <c r="A33" t="s">
        <v>16</v>
      </c>
      <c r="B33" s="1"/>
      <c r="J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496</v>
      </c>
      <c r="B35" s="2">
        <v>262</v>
      </c>
      <c r="C35" s="2">
        <v>1790</v>
      </c>
      <c r="D35" s="2">
        <v>1974</v>
      </c>
      <c r="E35" s="2">
        <v>2723</v>
      </c>
      <c r="F35" s="2">
        <v>5487</v>
      </c>
      <c r="G35" s="2">
        <v>3304</v>
      </c>
      <c r="H35" s="2">
        <v>348</v>
      </c>
      <c r="I35" s="3">
        <v>0</v>
      </c>
      <c r="J35" s="5">
        <f t="shared" ref="J35:Q35" si="27">A31*A35</f>
        <v>-1766752</v>
      </c>
      <c r="K35" s="5">
        <f t="shared" si="27"/>
        <v>-1004770</v>
      </c>
      <c r="L35" s="5">
        <f t="shared" si="27"/>
        <v>-4655790</v>
      </c>
      <c r="M35" s="5">
        <f t="shared" si="27"/>
        <v>-2230620</v>
      </c>
      <c r="N35" s="5">
        <f t="shared" si="27"/>
        <v>-6829284</v>
      </c>
      <c r="O35" s="5">
        <f t="shared" si="27"/>
        <v>-16757298</v>
      </c>
      <c r="P35" s="5">
        <f t="shared" si="27"/>
        <v>-9829400</v>
      </c>
      <c r="Q35" s="5">
        <f t="shared" si="27"/>
        <v>-1791852</v>
      </c>
      <c r="R35" s="14">
        <f>SUM(J35:Q35)</f>
        <v>-44865766</v>
      </c>
      <c r="S35" s="14">
        <f>MEDIAN(S3:S22)</f>
        <v>51734027.5</v>
      </c>
      <c r="T35" s="14">
        <v>1</v>
      </c>
      <c r="U35" s="14">
        <f>SUM(R35+S35+T35)</f>
        <v>6868262.5</v>
      </c>
      <c r="V35" s="2">
        <f>IF(U35&gt;0,0,1)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2FA3-3D03-44E6-80CC-42846681A489}">
  <dimension ref="A1:V35"/>
  <sheetViews>
    <sheetView topLeftCell="A24" zoomScale="70" zoomScaleNormal="70" workbookViewId="0">
      <selection activeCell="A24" sqref="A24"/>
    </sheetView>
  </sheetViews>
  <sheetFormatPr defaultRowHeight="15" x14ac:dyDescent="0.25"/>
  <cols>
    <col min="10" max="11" width="14" bestFit="1" customWidth="1"/>
    <col min="12" max="13" width="13.140625" bestFit="1" customWidth="1"/>
    <col min="14" max="14" width="13.5703125" bestFit="1" customWidth="1"/>
    <col min="15" max="17" width="14" bestFit="1" customWidth="1"/>
    <col min="18" max="18" width="17.7109375" bestFit="1" customWidth="1"/>
    <col min="19" max="19" width="14.42578125" bestFit="1" customWidth="1"/>
    <col min="20" max="20" width="5.7109375" bestFit="1" customWidth="1"/>
    <col min="21" max="21" width="13.140625" bestFit="1" customWidth="1"/>
    <col min="22" max="22" width="21.140625" bestFit="1" customWidth="1"/>
  </cols>
  <sheetData>
    <row r="1" spans="1:21" x14ac:dyDescent="0.25">
      <c r="A1" t="s">
        <v>17</v>
      </c>
      <c r="J1" s="1"/>
    </row>
    <row r="2" spans="1:2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1" x14ac:dyDescent="0.25">
      <c r="A3" s="6">
        <v>546</v>
      </c>
      <c r="B3" s="6">
        <v>671</v>
      </c>
      <c r="C3" s="6">
        <v>988</v>
      </c>
      <c r="D3" s="6">
        <v>1770</v>
      </c>
      <c r="E3" s="6">
        <v>3421</v>
      </c>
      <c r="F3" s="6">
        <v>2923</v>
      </c>
      <c r="G3" s="6">
        <v>3321</v>
      </c>
      <c r="H3" s="6">
        <v>2744</v>
      </c>
      <c r="I3" s="6">
        <v>0</v>
      </c>
      <c r="J3" s="8">
        <f>A31*A3</f>
        <v>-1820364</v>
      </c>
      <c r="K3" s="8">
        <f t="shared" ref="K3:Q3" si="0">B31*B3</f>
        <v>-2520947</v>
      </c>
      <c r="L3" s="8">
        <f t="shared" si="0"/>
        <v>-2402816</v>
      </c>
      <c r="M3" s="8">
        <f t="shared" si="0"/>
        <v>-2915190</v>
      </c>
      <c r="N3" s="8">
        <f t="shared" si="0"/>
        <v>-8963020</v>
      </c>
      <c r="O3" s="8">
        <f t="shared" si="0"/>
        <v>-6231836</v>
      </c>
      <c r="P3" s="8">
        <f t="shared" si="0"/>
        <v>-10686978</v>
      </c>
      <c r="Q3" s="8">
        <f t="shared" si="0"/>
        <v>-12029696</v>
      </c>
      <c r="R3" s="8">
        <f>SUM(J3:Q3)</f>
        <v>-47570847</v>
      </c>
      <c r="S3" s="8">
        <f>ABS(R3)+1</f>
        <v>47570848</v>
      </c>
      <c r="T3" s="8">
        <f t="shared" ref="T3:T22" si="1">R3+S3</f>
        <v>1</v>
      </c>
      <c r="U3" s="16"/>
    </row>
    <row r="4" spans="1:21" x14ac:dyDescent="0.25">
      <c r="A4" s="6">
        <v>410</v>
      </c>
      <c r="B4" s="6">
        <v>611</v>
      </c>
      <c r="C4" s="6">
        <v>1584</v>
      </c>
      <c r="D4" s="6">
        <v>1218</v>
      </c>
      <c r="E4" s="6">
        <v>2402</v>
      </c>
      <c r="F4" s="6">
        <v>2945</v>
      </c>
      <c r="G4" s="6">
        <v>5195</v>
      </c>
      <c r="H4" s="6">
        <v>2019</v>
      </c>
      <c r="I4" s="6">
        <v>0</v>
      </c>
      <c r="J4" s="8">
        <f>A31*A4</f>
        <v>-1366940</v>
      </c>
      <c r="K4" s="8">
        <f t="shared" ref="K4:Q4" si="2">B31*B4</f>
        <v>-2295527</v>
      </c>
      <c r="L4" s="8">
        <f t="shared" si="2"/>
        <v>-3852288</v>
      </c>
      <c r="M4" s="8">
        <f t="shared" si="2"/>
        <v>-2006046</v>
      </c>
      <c r="N4" s="8">
        <f t="shared" si="2"/>
        <v>-6293240</v>
      </c>
      <c r="O4" s="8">
        <f t="shared" si="2"/>
        <v>-6278740</v>
      </c>
      <c r="P4" s="8">
        <f t="shared" si="2"/>
        <v>-16717510</v>
      </c>
      <c r="Q4" s="8">
        <f t="shared" si="2"/>
        <v>-8851296</v>
      </c>
      <c r="R4" s="8">
        <f t="shared" ref="R4:R22" si="3">SUM(J4:Q4)</f>
        <v>-47661587</v>
      </c>
      <c r="S4" s="8">
        <f t="shared" ref="S4:S12" si="4">ABS(R4)+1</f>
        <v>47661588</v>
      </c>
      <c r="T4" s="8">
        <f t="shared" si="1"/>
        <v>1</v>
      </c>
      <c r="U4" s="16"/>
    </row>
    <row r="5" spans="1:21" x14ac:dyDescent="0.25">
      <c r="A5" s="6">
        <v>553</v>
      </c>
      <c r="B5" s="6">
        <v>991</v>
      </c>
      <c r="C5" s="6">
        <v>815</v>
      </c>
      <c r="D5" s="6">
        <v>515</v>
      </c>
      <c r="E5" s="6">
        <v>1929</v>
      </c>
      <c r="F5" s="6">
        <v>7243</v>
      </c>
      <c r="G5" s="6">
        <v>3878</v>
      </c>
      <c r="H5" s="6">
        <v>460</v>
      </c>
      <c r="I5" s="6">
        <v>0</v>
      </c>
      <c r="J5" s="8">
        <f>A31*A5</f>
        <v>-1843702</v>
      </c>
      <c r="K5" s="8">
        <f t="shared" ref="K5:Q5" si="5">B31*B5</f>
        <v>-3723187</v>
      </c>
      <c r="L5" s="8">
        <f t="shared" si="5"/>
        <v>-1982080</v>
      </c>
      <c r="M5" s="8">
        <f t="shared" si="5"/>
        <v>-848205</v>
      </c>
      <c r="N5" s="8">
        <f t="shared" si="5"/>
        <v>-5053980</v>
      </c>
      <c r="O5" s="8">
        <f t="shared" si="5"/>
        <v>-15442076</v>
      </c>
      <c r="P5" s="8">
        <f t="shared" si="5"/>
        <v>-12479404</v>
      </c>
      <c r="Q5" s="8">
        <f t="shared" si="5"/>
        <v>-2016640</v>
      </c>
      <c r="R5" s="8">
        <f t="shared" si="3"/>
        <v>-43389274</v>
      </c>
      <c r="S5" s="8">
        <f t="shared" si="4"/>
        <v>43389275</v>
      </c>
      <c r="T5" s="8">
        <f t="shared" si="1"/>
        <v>1</v>
      </c>
      <c r="U5" s="16"/>
    </row>
    <row r="6" spans="1:21" x14ac:dyDescent="0.25">
      <c r="A6" s="6">
        <v>605</v>
      </c>
      <c r="B6" s="6">
        <v>894</v>
      </c>
      <c r="C6" s="6">
        <v>183</v>
      </c>
      <c r="D6" s="6">
        <v>1122</v>
      </c>
      <c r="E6" s="6">
        <v>1525</v>
      </c>
      <c r="F6" s="6">
        <v>3567</v>
      </c>
      <c r="G6" s="6">
        <v>4376</v>
      </c>
      <c r="H6" s="6">
        <v>4112</v>
      </c>
      <c r="I6" s="6">
        <v>0</v>
      </c>
      <c r="J6" s="8">
        <f>A31*A6</f>
        <v>-2017070</v>
      </c>
      <c r="K6" s="8">
        <f t="shared" ref="K6:Q6" si="6">B31*B6</f>
        <v>-3358758</v>
      </c>
      <c r="L6" s="8">
        <f t="shared" si="6"/>
        <v>-445056</v>
      </c>
      <c r="M6" s="8">
        <f t="shared" si="6"/>
        <v>-1847934</v>
      </c>
      <c r="N6" s="8">
        <f t="shared" si="6"/>
        <v>-3995500</v>
      </c>
      <c r="O6" s="8">
        <f t="shared" si="6"/>
        <v>-7604844</v>
      </c>
      <c r="P6" s="8">
        <f t="shared" si="6"/>
        <v>-14081968</v>
      </c>
      <c r="Q6" s="8">
        <f t="shared" si="6"/>
        <v>-18027008</v>
      </c>
      <c r="R6" s="8">
        <f t="shared" si="3"/>
        <v>-51378138</v>
      </c>
      <c r="S6" s="8">
        <f t="shared" si="4"/>
        <v>51378139</v>
      </c>
      <c r="T6" s="8">
        <f t="shared" si="1"/>
        <v>1</v>
      </c>
      <c r="U6" s="16"/>
    </row>
    <row r="7" spans="1:21" x14ac:dyDescent="0.25">
      <c r="A7" s="6">
        <v>1239</v>
      </c>
      <c r="B7" s="6">
        <v>4272</v>
      </c>
      <c r="C7" s="6">
        <v>1406</v>
      </c>
      <c r="D7" s="6">
        <v>1589</v>
      </c>
      <c r="E7" s="6">
        <v>1491</v>
      </c>
      <c r="F7" s="6">
        <v>2305</v>
      </c>
      <c r="G7" s="6">
        <v>3062</v>
      </c>
      <c r="H7" s="6">
        <v>1020</v>
      </c>
      <c r="I7" s="6">
        <v>0</v>
      </c>
      <c r="J7" s="8">
        <f>A31*A7</f>
        <v>-4130826</v>
      </c>
      <c r="K7" s="8">
        <f t="shared" ref="K7:Q7" si="7">B31*B7</f>
        <v>-16049904</v>
      </c>
      <c r="L7" s="8">
        <f t="shared" si="7"/>
        <v>-3419392</v>
      </c>
      <c r="M7" s="8">
        <f t="shared" si="7"/>
        <v>-2617083</v>
      </c>
      <c r="N7" s="8">
        <f t="shared" si="7"/>
        <v>-3906420</v>
      </c>
      <c r="O7" s="8">
        <f t="shared" si="7"/>
        <v>-4914260</v>
      </c>
      <c r="P7" s="8">
        <f t="shared" si="7"/>
        <v>-9853516</v>
      </c>
      <c r="Q7" s="8">
        <f t="shared" si="7"/>
        <v>-4471680</v>
      </c>
      <c r="R7" s="8">
        <f t="shared" si="3"/>
        <v>-49363081</v>
      </c>
      <c r="S7" s="8">
        <f t="shared" si="4"/>
        <v>49363082</v>
      </c>
      <c r="T7" s="8">
        <f t="shared" si="1"/>
        <v>1</v>
      </c>
      <c r="U7" s="16"/>
    </row>
    <row r="8" spans="1:21" x14ac:dyDescent="0.25">
      <c r="A8" s="6">
        <v>1635</v>
      </c>
      <c r="B8" s="6">
        <v>1077</v>
      </c>
      <c r="C8" s="6">
        <v>1256</v>
      </c>
      <c r="D8" s="6">
        <v>1583</v>
      </c>
      <c r="E8" s="6">
        <v>2449</v>
      </c>
      <c r="F8" s="6">
        <v>2358</v>
      </c>
      <c r="G8" s="6">
        <v>2912</v>
      </c>
      <c r="H8" s="6">
        <v>3114</v>
      </c>
      <c r="I8" s="6">
        <v>0</v>
      </c>
      <c r="J8" s="8">
        <f>A31*A8</f>
        <v>-5451090</v>
      </c>
      <c r="K8" s="8">
        <f t="shared" ref="K8:Q8" si="8">B31*B8</f>
        <v>-4046289</v>
      </c>
      <c r="L8" s="8">
        <f t="shared" si="8"/>
        <v>-3054592</v>
      </c>
      <c r="M8" s="8">
        <f t="shared" si="8"/>
        <v>-2607201</v>
      </c>
      <c r="N8" s="8">
        <f t="shared" si="8"/>
        <v>-6416380</v>
      </c>
      <c r="O8" s="8">
        <f t="shared" si="8"/>
        <v>-5027256</v>
      </c>
      <c r="P8" s="8">
        <f t="shared" si="8"/>
        <v>-9370816</v>
      </c>
      <c r="Q8" s="8">
        <f t="shared" si="8"/>
        <v>-13651776</v>
      </c>
      <c r="R8" s="8">
        <f t="shared" si="3"/>
        <v>-49625400</v>
      </c>
      <c r="S8" s="8">
        <f t="shared" si="4"/>
        <v>49625401</v>
      </c>
      <c r="T8" s="8">
        <f t="shared" si="1"/>
        <v>1</v>
      </c>
      <c r="U8" s="16"/>
    </row>
    <row r="9" spans="1:21" x14ac:dyDescent="0.25">
      <c r="A9" s="6">
        <v>1731</v>
      </c>
      <c r="B9" s="6">
        <v>1316</v>
      </c>
      <c r="C9" s="6">
        <v>3307</v>
      </c>
      <c r="D9" s="6">
        <v>1502</v>
      </c>
      <c r="E9" s="6">
        <v>1357</v>
      </c>
      <c r="F9" s="6">
        <v>2125</v>
      </c>
      <c r="G9" s="6">
        <v>3011</v>
      </c>
      <c r="H9" s="6">
        <v>2035</v>
      </c>
      <c r="I9" s="6">
        <v>0</v>
      </c>
      <c r="J9" s="8">
        <f>A31*A9</f>
        <v>-5771154</v>
      </c>
      <c r="K9" s="8">
        <f t="shared" ref="K9:Q9" si="9">B31*B9</f>
        <v>-4944212</v>
      </c>
      <c r="L9" s="8">
        <f t="shared" si="9"/>
        <v>-8042624</v>
      </c>
      <c r="M9" s="8">
        <f t="shared" si="9"/>
        <v>-2473794</v>
      </c>
      <c r="N9" s="8">
        <f t="shared" si="9"/>
        <v>-3555340</v>
      </c>
      <c r="O9" s="8">
        <f t="shared" si="9"/>
        <v>-4530500</v>
      </c>
      <c r="P9" s="8">
        <f t="shared" si="9"/>
        <v>-9689398</v>
      </c>
      <c r="Q9" s="8">
        <f t="shared" si="9"/>
        <v>-8921440</v>
      </c>
      <c r="R9" s="8">
        <f t="shared" si="3"/>
        <v>-47928462</v>
      </c>
      <c r="S9" s="8">
        <f t="shared" si="4"/>
        <v>47928463</v>
      </c>
      <c r="T9" s="8">
        <f t="shared" si="1"/>
        <v>1</v>
      </c>
      <c r="U9" s="16"/>
    </row>
    <row r="10" spans="1:21" x14ac:dyDescent="0.25">
      <c r="A10" s="6">
        <v>901</v>
      </c>
      <c r="B10" s="6">
        <v>781</v>
      </c>
      <c r="C10" s="6">
        <v>901</v>
      </c>
      <c r="D10" s="6">
        <v>793</v>
      </c>
      <c r="E10" s="6">
        <v>2838</v>
      </c>
      <c r="F10" s="6">
        <v>4729</v>
      </c>
      <c r="G10" s="6">
        <v>3987</v>
      </c>
      <c r="H10" s="6">
        <v>1454</v>
      </c>
      <c r="I10" s="6">
        <v>0</v>
      </c>
      <c r="J10" s="8">
        <f>A31*A10</f>
        <v>-3003934</v>
      </c>
      <c r="K10" s="8">
        <f t="shared" ref="K10:Q10" si="10">B31*B10</f>
        <v>-2934217</v>
      </c>
      <c r="L10" s="8">
        <f t="shared" si="10"/>
        <v>-2191232</v>
      </c>
      <c r="M10" s="8">
        <f t="shared" si="10"/>
        <v>-1306071</v>
      </c>
      <c r="N10" s="8">
        <f t="shared" si="10"/>
        <v>-7435560</v>
      </c>
      <c r="O10" s="8">
        <f t="shared" si="10"/>
        <v>-10082228</v>
      </c>
      <c r="P10" s="8">
        <f t="shared" si="10"/>
        <v>-12830166</v>
      </c>
      <c r="Q10" s="8">
        <f t="shared" si="10"/>
        <v>-6374336</v>
      </c>
      <c r="R10" s="8">
        <f t="shared" si="3"/>
        <v>-46157744</v>
      </c>
      <c r="S10" s="8">
        <f t="shared" si="4"/>
        <v>46157745</v>
      </c>
      <c r="T10" s="8">
        <f t="shared" si="1"/>
        <v>1</v>
      </c>
      <c r="U10" s="16"/>
    </row>
    <row r="11" spans="1:21" x14ac:dyDescent="0.25">
      <c r="A11" s="6">
        <v>732</v>
      </c>
      <c r="B11" s="6">
        <v>470</v>
      </c>
      <c r="C11" s="6">
        <v>715</v>
      </c>
      <c r="D11" s="6">
        <v>1864</v>
      </c>
      <c r="E11" s="6">
        <v>2328</v>
      </c>
      <c r="F11" s="6">
        <v>3231</v>
      </c>
      <c r="G11" s="6">
        <v>4183</v>
      </c>
      <c r="H11" s="6">
        <v>2861</v>
      </c>
      <c r="I11" s="6">
        <v>0</v>
      </c>
      <c r="J11" s="8">
        <f>A31*A11</f>
        <v>-2440488</v>
      </c>
      <c r="K11" s="8">
        <f t="shared" ref="K11:Q11" si="11">B31*B11</f>
        <v>-1765790</v>
      </c>
      <c r="L11" s="8">
        <f t="shared" si="11"/>
        <v>-1738880</v>
      </c>
      <c r="M11" s="8">
        <f t="shared" si="11"/>
        <v>-3070008</v>
      </c>
      <c r="N11" s="8">
        <f t="shared" si="11"/>
        <v>-6099360</v>
      </c>
      <c r="O11" s="8">
        <f t="shared" si="11"/>
        <v>-6888492</v>
      </c>
      <c r="P11" s="8">
        <f t="shared" si="11"/>
        <v>-13460894</v>
      </c>
      <c r="Q11" s="8">
        <f t="shared" si="11"/>
        <v>-12542624</v>
      </c>
      <c r="R11" s="8">
        <f t="shared" si="3"/>
        <v>-48006536</v>
      </c>
      <c r="S11" s="8">
        <f t="shared" si="4"/>
        <v>48006537</v>
      </c>
      <c r="T11" s="8">
        <f t="shared" si="1"/>
        <v>1</v>
      </c>
      <c r="U11" s="16"/>
    </row>
    <row r="12" spans="1:21" x14ac:dyDescent="0.25">
      <c r="A12" s="6">
        <v>1026</v>
      </c>
      <c r="B12" s="6">
        <v>445</v>
      </c>
      <c r="C12" s="6">
        <v>406</v>
      </c>
      <c r="D12" s="6">
        <v>1133</v>
      </c>
      <c r="E12" s="6">
        <v>2326</v>
      </c>
      <c r="F12" s="6">
        <v>3311</v>
      </c>
      <c r="G12" s="6">
        <v>5089</v>
      </c>
      <c r="H12" s="6">
        <v>2648</v>
      </c>
      <c r="I12" s="6">
        <v>0</v>
      </c>
      <c r="J12" s="8">
        <f>A31*A12</f>
        <v>-3420684</v>
      </c>
      <c r="K12" s="8">
        <f t="shared" ref="K12:Q12" si="12">B31*B12</f>
        <v>-1671865</v>
      </c>
      <c r="L12" s="8">
        <f t="shared" si="12"/>
        <v>-987392</v>
      </c>
      <c r="M12" s="8">
        <f t="shared" si="12"/>
        <v>-1866051</v>
      </c>
      <c r="N12" s="8">
        <f t="shared" si="12"/>
        <v>-6094120</v>
      </c>
      <c r="O12" s="8">
        <f t="shared" si="12"/>
        <v>-7059052</v>
      </c>
      <c r="P12" s="8">
        <f t="shared" si="12"/>
        <v>-16376402</v>
      </c>
      <c r="Q12" s="8">
        <f t="shared" si="12"/>
        <v>-11608832</v>
      </c>
      <c r="R12" s="8">
        <f t="shared" si="3"/>
        <v>-49084398</v>
      </c>
      <c r="S12" s="8">
        <f t="shared" si="4"/>
        <v>49084399</v>
      </c>
      <c r="T12" s="8">
        <f t="shared" si="1"/>
        <v>1</v>
      </c>
      <c r="U12" s="16"/>
    </row>
    <row r="13" spans="1:21" x14ac:dyDescent="0.25">
      <c r="A13" s="7">
        <v>649</v>
      </c>
      <c r="B13" s="7">
        <v>4202</v>
      </c>
      <c r="C13" s="7">
        <v>1954</v>
      </c>
      <c r="D13" s="7">
        <v>668</v>
      </c>
      <c r="E13" s="7">
        <v>2239</v>
      </c>
      <c r="F13" s="7">
        <v>1718</v>
      </c>
      <c r="G13" s="7">
        <v>2036</v>
      </c>
      <c r="H13" s="7">
        <v>2918</v>
      </c>
      <c r="I13" s="7">
        <v>1</v>
      </c>
      <c r="J13" s="9">
        <f>A31*A13</f>
        <v>-2163766</v>
      </c>
      <c r="K13" s="9">
        <f t="shared" ref="K13:Q13" si="13">B31*B13</f>
        <v>-15786914</v>
      </c>
      <c r="L13" s="9">
        <f t="shared" si="13"/>
        <v>-4752128</v>
      </c>
      <c r="M13" s="9">
        <f t="shared" si="13"/>
        <v>-1100196</v>
      </c>
      <c r="N13" s="9">
        <f t="shared" si="13"/>
        <v>-5866180</v>
      </c>
      <c r="O13" s="9">
        <f t="shared" si="13"/>
        <v>-3662776</v>
      </c>
      <c r="P13" s="9">
        <f t="shared" si="13"/>
        <v>-6551848</v>
      </c>
      <c r="Q13" s="9">
        <f t="shared" si="13"/>
        <v>-12792512</v>
      </c>
      <c r="R13" s="9">
        <f t="shared" si="3"/>
        <v>-52676320</v>
      </c>
      <c r="S13" s="9">
        <f>ABS(R13)-1</f>
        <v>52676319</v>
      </c>
      <c r="T13" s="9">
        <f t="shared" si="1"/>
        <v>-1</v>
      </c>
      <c r="U13" s="16"/>
    </row>
    <row r="14" spans="1:21" x14ac:dyDescent="0.25">
      <c r="A14" s="7">
        <v>3744</v>
      </c>
      <c r="B14" s="7">
        <v>2302</v>
      </c>
      <c r="C14" s="7">
        <v>2487</v>
      </c>
      <c r="D14" s="7">
        <v>1326</v>
      </c>
      <c r="E14" s="7">
        <v>2305</v>
      </c>
      <c r="F14" s="7">
        <v>1737</v>
      </c>
      <c r="G14" s="7">
        <v>1549</v>
      </c>
      <c r="H14" s="7">
        <v>934</v>
      </c>
      <c r="I14" s="7">
        <v>1</v>
      </c>
      <c r="J14" s="9">
        <f>A31*A14</f>
        <v>-12482496</v>
      </c>
      <c r="K14" s="9">
        <f t="shared" ref="K14:Q14" si="14">B31*B14</f>
        <v>-8648614</v>
      </c>
      <c r="L14" s="9">
        <f t="shared" si="14"/>
        <v>-6048384</v>
      </c>
      <c r="M14" s="9">
        <f t="shared" si="14"/>
        <v>-2183922</v>
      </c>
      <c r="N14" s="9">
        <f t="shared" si="14"/>
        <v>-6039100</v>
      </c>
      <c r="O14" s="9">
        <f t="shared" si="14"/>
        <v>-3703284</v>
      </c>
      <c r="P14" s="9">
        <f t="shared" si="14"/>
        <v>-4984682</v>
      </c>
      <c r="Q14" s="9">
        <f t="shared" si="14"/>
        <v>-4094656</v>
      </c>
      <c r="R14" s="9">
        <f t="shared" si="3"/>
        <v>-48185138</v>
      </c>
      <c r="S14" s="9">
        <f t="shared" ref="S14:S22" si="15">ABS(R14)-1</f>
        <v>48185137</v>
      </c>
      <c r="T14" s="9">
        <f t="shared" si="1"/>
        <v>-1</v>
      </c>
      <c r="U14" s="16"/>
    </row>
    <row r="15" spans="1:21" x14ac:dyDescent="0.25">
      <c r="A15" s="7">
        <v>661</v>
      </c>
      <c r="B15" s="7">
        <v>391</v>
      </c>
      <c r="C15" s="7">
        <v>979</v>
      </c>
      <c r="D15" s="7">
        <v>2162</v>
      </c>
      <c r="E15" s="7">
        <v>2255</v>
      </c>
      <c r="F15" s="7">
        <v>3028</v>
      </c>
      <c r="G15" s="7">
        <v>3846</v>
      </c>
      <c r="H15" s="7">
        <v>3062</v>
      </c>
      <c r="I15" s="7">
        <v>1</v>
      </c>
      <c r="J15" s="9">
        <f>A31*A15</f>
        <v>-2203774</v>
      </c>
      <c r="K15" s="9">
        <f t="shared" ref="K15:Q15" si="16">B31*B15</f>
        <v>-1468987</v>
      </c>
      <c r="L15" s="9">
        <f t="shared" si="16"/>
        <v>-2380928</v>
      </c>
      <c r="M15" s="9">
        <f t="shared" si="16"/>
        <v>-3560814</v>
      </c>
      <c r="N15" s="9">
        <f t="shared" si="16"/>
        <v>-5908100</v>
      </c>
      <c r="O15" s="9">
        <f t="shared" si="16"/>
        <v>-6455696</v>
      </c>
      <c r="P15" s="9">
        <f t="shared" si="16"/>
        <v>-12376428</v>
      </c>
      <c r="Q15" s="9">
        <f t="shared" si="16"/>
        <v>-13423808</v>
      </c>
      <c r="R15" s="9">
        <f t="shared" si="3"/>
        <v>-47778535</v>
      </c>
      <c r="S15" s="9">
        <f t="shared" si="15"/>
        <v>47778534</v>
      </c>
      <c r="T15" s="9">
        <f t="shared" si="1"/>
        <v>-1</v>
      </c>
      <c r="U15" s="16"/>
    </row>
    <row r="16" spans="1:21" x14ac:dyDescent="0.25">
      <c r="A16" s="7">
        <v>342</v>
      </c>
      <c r="B16" s="7">
        <v>361</v>
      </c>
      <c r="C16" s="7">
        <v>832</v>
      </c>
      <c r="D16" s="7">
        <v>1397</v>
      </c>
      <c r="E16" s="7">
        <v>3977</v>
      </c>
      <c r="F16" s="7">
        <v>3500</v>
      </c>
      <c r="G16" s="7">
        <v>4091</v>
      </c>
      <c r="H16" s="7">
        <v>1884</v>
      </c>
      <c r="I16" s="7">
        <v>1</v>
      </c>
      <c r="J16" s="9">
        <f>A31*A16</f>
        <v>-1140228</v>
      </c>
      <c r="K16" s="9">
        <f t="shared" ref="K16:Q16" si="17">B31*B16</f>
        <v>-1356277</v>
      </c>
      <c r="L16" s="9">
        <f t="shared" si="17"/>
        <v>-2023424</v>
      </c>
      <c r="M16" s="9">
        <f t="shared" si="17"/>
        <v>-2300859</v>
      </c>
      <c r="N16" s="9">
        <f t="shared" si="17"/>
        <v>-10419740</v>
      </c>
      <c r="O16" s="9">
        <f t="shared" si="17"/>
        <v>-7462000</v>
      </c>
      <c r="P16" s="9">
        <f t="shared" si="17"/>
        <v>-13164838</v>
      </c>
      <c r="Q16" s="9">
        <f t="shared" si="17"/>
        <v>-8259456</v>
      </c>
      <c r="R16" s="9">
        <f t="shared" si="3"/>
        <v>-46126822</v>
      </c>
      <c r="S16" s="9">
        <f t="shared" si="15"/>
        <v>46126821</v>
      </c>
      <c r="T16" s="9">
        <f t="shared" si="1"/>
        <v>-1</v>
      </c>
      <c r="U16" s="16"/>
    </row>
    <row r="17" spans="1:21" x14ac:dyDescent="0.25">
      <c r="A17" s="7">
        <v>1392</v>
      </c>
      <c r="B17" s="7">
        <v>1285</v>
      </c>
      <c r="C17" s="7">
        <v>1127</v>
      </c>
      <c r="D17" s="7">
        <v>405</v>
      </c>
      <c r="E17" s="7">
        <v>2452</v>
      </c>
      <c r="F17" s="7">
        <v>4257</v>
      </c>
      <c r="G17" s="7">
        <v>3214</v>
      </c>
      <c r="H17" s="7">
        <v>2252</v>
      </c>
      <c r="I17" s="7">
        <v>1</v>
      </c>
      <c r="J17" s="9">
        <f>A31*A17</f>
        <v>-4640928</v>
      </c>
      <c r="K17" s="9">
        <f t="shared" ref="K17:Q17" si="18">B31*B17</f>
        <v>-4827745</v>
      </c>
      <c r="L17" s="9">
        <f t="shared" si="18"/>
        <v>-2740864</v>
      </c>
      <c r="M17" s="9">
        <f t="shared" si="18"/>
        <v>-667035</v>
      </c>
      <c r="N17" s="9">
        <f t="shared" si="18"/>
        <v>-6424240</v>
      </c>
      <c r="O17" s="9">
        <f t="shared" si="18"/>
        <v>-9075924</v>
      </c>
      <c r="P17" s="9">
        <f t="shared" si="18"/>
        <v>-10342652</v>
      </c>
      <c r="Q17" s="9">
        <f t="shared" si="18"/>
        <v>-9872768</v>
      </c>
      <c r="R17" s="9">
        <f t="shared" si="3"/>
        <v>-48592156</v>
      </c>
      <c r="S17" s="9">
        <f t="shared" si="15"/>
        <v>48592155</v>
      </c>
      <c r="T17" s="9">
        <f t="shared" si="1"/>
        <v>-1</v>
      </c>
      <c r="U17" s="16"/>
    </row>
    <row r="18" spans="1:21" x14ac:dyDescent="0.25">
      <c r="A18" s="7">
        <v>345</v>
      </c>
      <c r="B18" s="7">
        <v>534</v>
      </c>
      <c r="C18" s="7">
        <v>688</v>
      </c>
      <c r="D18" s="7">
        <v>1688</v>
      </c>
      <c r="E18" s="7">
        <v>3566</v>
      </c>
      <c r="F18" s="7">
        <v>2995</v>
      </c>
      <c r="G18" s="7">
        <v>4410</v>
      </c>
      <c r="H18" s="7">
        <v>2158</v>
      </c>
      <c r="I18" s="7">
        <v>1</v>
      </c>
      <c r="J18" s="9">
        <f>A31*A18</f>
        <v>-1150230</v>
      </c>
      <c r="K18" s="9">
        <f t="shared" ref="K18:Q18" si="19">B31*B18</f>
        <v>-2006238</v>
      </c>
      <c r="L18" s="9">
        <f t="shared" si="19"/>
        <v>-1673216</v>
      </c>
      <c r="M18" s="9">
        <f t="shared" si="19"/>
        <v>-2780136</v>
      </c>
      <c r="N18" s="9">
        <f t="shared" si="19"/>
        <v>-9342920</v>
      </c>
      <c r="O18" s="9">
        <f t="shared" si="19"/>
        <v>-6385340</v>
      </c>
      <c r="P18" s="9">
        <f t="shared" si="19"/>
        <v>-14191380</v>
      </c>
      <c r="Q18" s="9">
        <f t="shared" si="19"/>
        <v>-9460672</v>
      </c>
      <c r="R18" s="9">
        <f t="shared" si="3"/>
        <v>-46990132</v>
      </c>
      <c r="S18" s="9">
        <f t="shared" si="15"/>
        <v>46990131</v>
      </c>
      <c r="T18" s="9">
        <f t="shared" si="1"/>
        <v>-1</v>
      </c>
      <c r="U18" s="16"/>
    </row>
    <row r="19" spans="1:21" x14ac:dyDescent="0.25">
      <c r="A19" s="7">
        <v>1933</v>
      </c>
      <c r="B19" s="7">
        <v>922</v>
      </c>
      <c r="C19" s="7">
        <v>503</v>
      </c>
      <c r="D19" s="7">
        <v>937</v>
      </c>
      <c r="E19" s="7">
        <v>1612</v>
      </c>
      <c r="F19" s="7">
        <v>2049</v>
      </c>
      <c r="G19" s="7">
        <v>4201</v>
      </c>
      <c r="H19" s="7">
        <v>4227</v>
      </c>
      <c r="I19" s="7">
        <v>1</v>
      </c>
      <c r="J19" s="9">
        <f>A31*A19</f>
        <v>-6444622</v>
      </c>
      <c r="K19" s="9">
        <f t="shared" ref="K19:Q19" si="20">B31*B19</f>
        <v>-3463954</v>
      </c>
      <c r="L19" s="9">
        <f t="shared" si="20"/>
        <v>-1223296</v>
      </c>
      <c r="M19" s="9">
        <f t="shared" si="20"/>
        <v>-1543239</v>
      </c>
      <c r="N19" s="9">
        <f t="shared" si="20"/>
        <v>-4223440</v>
      </c>
      <c r="O19" s="9">
        <f t="shared" si="20"/>
        <v>-4368468</v>
      </c>
      <c r="P19" s="9">
        <f t="shared" si="20"/>
        <v>-13518818</v>
      </c>
      <c r="Q19" s="9">
        <f t="shared" si="20"/>
        <v>-18531168</v>
      </c>
      <c r="R19" s="9">
        <f t="shared" si="3"/>
        <v>-53317005</v>
      </c>
      <c r="S19" s="9">
        <f t="shared" si="15"/>
        <v>53317004</v>
      </c>
      <c r="T19" s="9">
        <f t="shared" si="1"/>
        <v>-1</v>
      </c>
      <c r="U19" s="16"/>
    </row>
    <row r="20" spans="1:21" x14ac:dyDescent="0.25">
      <c r="A20" s="7">
        <v>378</v>
      </c>
      <c r="B20" s="7">
        <v>445</v>
      </c>
      <c r="C20" s="7">
        <v>344</v>
      </c>
      <c r="D20" s="7">
        <v>910</v>
      </c>
      <c r="E20" s="7">
        <v>2456</v>
      </c>
      <c r="F20" s="7">
        <v>3863</v>
      </c>
      <c r="G20" s="7">
        <v>6130</v>
      </c>
      <c r="H20" s="7">
        <v>1858</v>
      </c>
      <c r="I20" s="7">
        <v>1</v>
      </c>
      <c r="J20" s="9">
        <f>A31*A20</f>
        <v>-1260252</v>
      </c>
      <c r="K20" s="9">
        <f t="shared" ref="K20:Q20" si="21">B31*B20</f>
        <v>-1671865</v>
      </c>
      <c r="L20" s="9">
        <f t="shared" si="21"/>
        <v>-836608</v>
      </c>
      <c r="M20" s="9">
        <f t="shared" si="21"/>
        <v>-1498770</v>
      </c>
      <c r="N20" s="9">
        <f t="shared" si="21"/>
        <v>-6434720</v>
      </c>
      <c r="O20" s="9">
        <f t="shared" si="21"/>
        <v>-8235916</v>
      </c>
      <c r="P20" s="9">
        <f t="shared" si="21"/>
        <v>-19726340</v>
      </c>
      <c r="Q20" s="9">
        <f t="shared" si="21"/>
        <v>-8145472</v>
      </c>
      <c r="R20" s="9">
        <f t="shared" si="3"/>
        <v>-47809943</v>
      </c>
      <c r="S20" s="9">
        <f t="shared" si="15"/>
        <v>47809942</v>
      </c>
      <c r="T20" s="9">
        <f t="shared" si="1"/>
        <v>-1</v>
      </c>
      <c r="U20" s="16"/>
    </row>
    <row r="21" spans="1:21" x14ac:dyDescent="0.25">
      <c r="A21" s="7">
        <v>718</v>
      </c>
      <c r="B21" s="7">
        <v>876</v>
      </c>
      <c r="C21" s="7">
        <v>2615</v>
      </c>
      <c r="D21" s="7">
        <v>372</v>
      </c>
      <c r="E21" s="7">
        <v>1531</v>
      </c>
      <c r="F21" s="7">
        <v>3428</v>
      </c>
      <c r="G21" s="7">
        <v>5200</v>
      </c>
      <c r="H21" s="7">
        <v>1644</v>
      </c>
      <c r="I21" s="7">
        <v>1</v>
      </c>
      <c r="J21" s="9">
        <f>A31*A21</f>
        <v>-2393812</v>
      </c>
      <c r="K21" s="9">
        <f t="shared" ref="K21:Q21" si="22">B31*B21</f>
        <v>-3291132</v>
      </c>
      <c r="L21" s="9">
        <f t="shared" si="22"/>
        <v>-6359680</v>
      </c>
      <c r="M21" s="9">
        <f t="shared" si="22"/>
        <v>-612684</v>
      </c>
      <c r="N21" s="9">
        <f t="shared" si="22"/>
        <v>-4011220</v>
      </c>
      <c r="O21" s="9">
        <f t="shared" si="22"/>
        <v>-7308496</v>
      </c>
      <c r="P21" s="9">
        <f t="shared" si="22"/>
        <v>-16733600</v>
      </c>
      <c r="Q21" s="9">
        <f t="shared" si="22"/>
        <v>-7207296</v>
      </c>
      <c r="R21" s="9">
        <f t="shared" si="3"/>
        <v>-47917920</v>
      </c>
      <c r="S21" s="9">
        <f t="shared" si="15"/>
        <v>47917919</v>
      </c>
      <c r="T21" s="9">
        <f t="shared" si="1"/>
        <v>-1</v>
      </c>
      <c r="U21" s="16"/>
    </row>
    <row r="22" spans="1:21" x14ac:dyDescent="0.25">
      <c r="A22" s="7">
        <v>1483</v>
      </c>
      <c r="B22" s="7">
        <v>1797</v>
      </c>
      <c r="C22" s="7">
        <v>684</v>
      </c>
      <c r="D22" s="7">
        <v>284</v>
      </c>
      <c r="E22" s="7">
        <v>1103</v>
      </c>
      <c r="F22" s="7">
        <v>1880</v>
      </c>
      <c r="G22" s="7">
        <v>4309</v>
      </c>
      <c r="H22" s="7">
        <v>4844</v>
      </c>
      <c r="I22" s="7">
        <v>1</v>
      </c>
      <c r="J22" s="9">
        <f>A31*A22</f>
        <v>-4944322</v>
      </c>
      <c r="K22" s="9">
        <f t="shared" ref="K22:Q22" si="23">B31*B22</f>
        <v>-6751329</v>
      </c>
      <c r="L22" s="9">
        <f t="shared" si="23"/>
        <v>-1663488</v>
      </c>
      <c r="M22" s="9">
        <f t="shared" si="23"/>
        <v>-467748</v>
      </c>
      <c r="N22" s="9">
        <f t="shared" si="23"/>
        <v>-2889860</v>
      </c>
      <c r="O22" s="9">
        <f t="shared" si="23"/>
        <v>-4008160</v>
      </c>
      <c r="P22" s="9">
        <f t="shared" si="23"/>
        <v>-13866362</v>
      </c>
      <c r="Q22" s="9">
        <f t="shared" si="23"/>
        <v>-21236096</v>
      </c>
      <c r="R22" s="9">
        <f t="shared" si="3"/>
        <v>-55827365</v>
      </c>
      <c r="S22" s="9">
        <f t="shared" si="15"/>
        <v>55827364</v>
      </c>
      <c r="T22" s="9">
        <f t="shared" si="1"/>
        <v>-1</v>
      </c>
      <c r="U22" s="16"/>
    </row>
    <row r="23" spans="1:21" x14ac:dyDescent="0.25">
      <c r="J23" s="1"/>
    </row>
    <row r="24" spans="1:21" x14ac:dyDescent="0.25">
      <c r="A24" t="s">
        <v>54</v>
      </c>
      <c r="J24" s="1"/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  <c r="J25" s="1"/>
    </row>
    <row r="26" spans="1:21" x14ac:dyDescent="0.25">
      <c r="A26" s="6">
        <f t="shared" ref="A26:H26" si="24">MIN(A3:A12)</f>
        <v>410</v>
      </c>
      <c r="B26" s="6">
        <f t="shared" si="24"/>
        <v>445</v>
      </c>
      <c r="C26" s="6">
        <f t="shared" si="24"/>
        <v>183</v>
      </c>
      <c r="D26" s="6">
        <f t="shared" si="24"/>
        <v>515</v>
      </c>
      <c r="E26" s="6">
        <f t="shared" si="24"/>
        <v>1357</v>
      </c>
      <c r="F26" s="6">
        <f t="shared" si="24"/>
        <v>2125</v>
      </c>
      <c r="G26" s="6">
        <f t="shared" si="24"/>
        <v>2912</v>
      </c>
      <c r="H26" s="6">
        <f t="shared" si="24"/>
        <v>460</v>
      </c>
      <c r="I26" s="6">
        <v>0</v>
      </c>
      <c r="J26" s="1"/>
    </row>
    <row r="27" spans="1:21" x14ac:dyDescent="0.25">
      <c r="A27" s="7">
        <f t="shared" ref="A27:H27" si="25">MAX(A13:A22)</f>
        <v>3744</v>
      </c>
      <c r="B27" s="7">
        <f t="shared" si="25"/>
        <v>4202</v>
      </c>
      <c r="C27" s="7">
        <f t="shared" si="25"/>
        <v>2615</v>
      </c>
      <c r="D27" s="7">
        <f t="shared" si="25"/>
        <v>2162</v>
      </c>
      <c r="E27" s="7">
        <f t="shared" si="25"/>
        <v>3977</v>
      </c>
      <c r="F27" s="7">
        <f t="shared" si="25"/>
        <v>4257</v>
      </c>
      <c r="G27" s="7">
        <f t="shared" si="25"/>
        <v>6130</v>
      </c>
      <c r="H27" s="7">
        <f t="shared" si="25"/>
        <v>4844</v>
      </c>
      <c r="I27" s="7">
        <v>1</v>
      </c>
      <c r="J27" s="1"/>
    </row>
    <row r="28" spans="1:21" x14ac:dyDescent="0.25">
      <c r="J28" s="1"/>
    </row>
    <row r="29" spans="1:21" x14ac:dyDescent="0.25">
      <c r="A29" t="s">
        <v>55</v>
      </c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-3334</v>
      </c>
      <c r="B31" s="2">
        <f t="shared" ref="B31:H31" si="26">SUM(B26-B27)</f>
        <v>-3757</v>
      </c>
      <c r="C31" s="2">
        <f t="shared" si="26"/>
        <v>-2432</v>
      </c>
      <c r="D31" s="2">
        <f t="shared" si="26"/>
        <v>-1647</v>
      </c>
      <c r="E31" s="2">
        <f t="shared" si="26"/>
        <v>-2620</v>
      </c>
      <c r="F31" s="2">
        <f t="shared" si="26"/>
        <v>-2132</v>
      </c>
      <c r="G31" s="2">
        <f t="shared" si="26"/>
        <v>-3218</v>
      </c>
      <c r="H31" s="2">
        <f t="shared" si="26"/>
        <v>-4384</v>
      </c>
    </row>
    <row r="32" spans="1:21" x14ac:dyDescent="0.25">
      <c r="J32" s="1"/>
    </row>
    <row r="33" spans="1:22" x14ac:dyDescent="0.25">
      <c r="A33" t="s">
        <v>18</v>
      </c>
      <c r="B33" s="1"/>
      <c r="J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1949</v>
      </c>
      <c r="B35" s="2">
        <v>1587</v>
      </c>
      <c r="C35" s="2">
        <v>1289</v>
      </c>
      <c r="D35" s="2">
        <v>1545</v>
      </c>
      <c r="E35" s="2">
        <v>2150</v>
      </c>
      <c r="F35" s="2">
        <v>1805</v>
      </c>
      <c r="G35" s="2">
        <v>2094</v>
      </c>
      <c r="H35" s="2">
        <v>3965</v>
      </c>
      <c r="I35" s="3">
        <v>1</v>
      </c>
      <c r="J35" s="5">
        <f t="shared" ref="J35:Q35" si="27">A31*A35</f>
        <v>-6497966</v>
      </c>
      <c r="K35" s="5">
        <f t="shared" si="27"/>
        <v>-5962359</v>
      </c>
      <c r="L35" s="5">
        <f t="shared" si="27"/>
        <v>-3134848</v>
      </c>
      <c r="M35" s="5">
        <f t="shared" si="27"/>
        <v>-2544615</v>
      </c>
      <c r="N35" s="5">
        <f t="shared" si="27"/>
        <v>-5633000</v>
      </c>
      <c r="O35" s="5">
        <f t="shared" si="27"/>
        <v>-3848260</v>
      </c>
      <c r="P35" s="5">
        <f t="shared" si="27"/>
        <v>-6738492</v>
      </c>
      <c r="Q35" s="5">
        <f t="shared" si="27"/>
        <v>-17382560</v>
      </c>
      <c r="R35" s="14">
        <f>SUM(J35:Q35)</f>
        <v>-51742100</v>
      </c>
      <c r="S35" s="14">
        <f>MEDIAN(S3:S22)</f>
        <v>47967500</v>
      </c>
      <c r="T35" s="14">
        <v>1</v>
      </c>
      <c r="U35" s="14">
        <f>SUM(R35+S35+T35)</f>
        <v>-3774599</v>
      </c>
      <c r="V35" s="2">
        <f>IF(U35&gt;0,0,1)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EFCE-7400-4184-9E03-FB5D5874F884}">
  <dimension ref="A1:V35"/>
  <sheetViews>
    <sheetView topLeftCell="A12" zoomScale="70" zoomScaleNormal="70" workbookViewId="0">
      <selection activeCell="A44" sqref="A44"/>
    </sheetView>
  </sheetViews>
  <sheetFormatPr defaultRowHeight="15" x14ac:dyDescent="0.25"/>
  <cols>
    <col min="10" max="10" width="14" bestFit="1" customWidth="1"/>
    <col min="11" max="13" width="13.140625" bestFit="1" customWidth="1"/>
    <col min="14" max="15" width="14" bestFit="1" customWidth="1"/>
    <col min="16" max="17" width="14.42578125" bestFit="1" customWidth="1"/>
    <col min="18" max="18" width="17.7109375" bestFit="1" customWidth="1"/>
    <col min="19" max="19" width="14.42578125" bestFit="1" customWidth="1"/>
    <col min="20" max="20" width="5.7109375" bestFit="1" customWidth="1"/>
    <col min="21" max="21" width="12.85546875" bestFit="1" customWidth="1"/>
    <col min="22" max="22" width="21.140625" bestFit="1" customWidth="1"/>
  </cols>
  <sheetData>
    <row r="1" spans="1:21" x14ac:dyDescent="0.25">
      <c r="A1" t="s">
        <v>19</v>
      </c>
      <c r="J1" s="1"/>
    </row>
    <row r="2" spans="1:2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1" x14ac:dyDescent="0.25">
      <c r="A3" s="6">
        <v>703</v>
      </c>
      <c r="B3" s="6">
        <v>0</v>
      </c>
      <c r="C3" s="6">
        <v>2248</v>
      </c>
      <c r="D3" s="6">
        <v>1514</v>
      </c>
      <c r="E3" s="6">
        <v>2726</v>
      </c>
      <c r="F3" s="6">
        <v>3887</v>
      </c>
      <c r="G3" s="6">
        <v>2590</v>
      </c>
      <c r="H3" s="6">
        <v>2716</v>
      </c>
      <c r="I3" s="6">
        <v>0</v>
      </c>
      <c r="J3" s="8">
        <f>A31*A3</f>
        <v>-2763493</v>
      </c>
      <c r="K3" s="8">
        <f t="shared" ref="K3:Q3" si="0">B31*B3</f>
        <v>0</v>
      </c>
      <c r="L3" s="8">
        <f t="shared" si="0"/>
        <v>-4705064</v>
      </c>
      <c r="M3" s="8">
        <f t="shared" si="0"/>
        <v>-2611650</v>
      </c>
      <c r="N3" s="8">
        <f t="shared" si="0"/>
        <v>-6997642</v>
      </c>
      <c r="O3" s="8">
        <f t="shared" si="0"/>
        <v>-11447215</v>
      </c>
      <c r="P3" s="8">
        <f t="shared" si="0"/>
        <v>-9994810</v>
      </c>
      <c r="Q3" s="8">
        <f t="shared" si="0"/>
        <v>-15011332</v>
      </c>
      <c r="R3" s="8">
        <f>SUM(J3:Q3)</f>
        <v>-53531206</v>
      </c>
      <c r="S3" s="8">
        <f>ABS(R3)+1</f>
        <v>53531207</v>
      </c>
      <c r="T3" s="8">
        <f t="shared" ref="T3:T22" si="1">R3+S3</f>
        <v>1</v>
      </c>
      <c r="U3" s="16"/>
    </row>
    <row r="4" spans="1:21" x14ac:dyDescent="0.25">
      <c r="A4" s="6">
        <v>106</v>
      </c>
      <c r="B4" s="6">
        <v>935</v>
      </c>
      <c r="C4" s="6">
        <v>1375</v>
      </c>
      <c r="D4" s="6">
        <v>1302</v>
      </c>
      <c r="E4" s="6">
        <v>2413</v>
      </c>
      <c r="F4" s="6">
        <v>3164</v>
      </c>
      <c r="G4" s="6">
        <v>5373</v>
      </c>
      <c r="H4" s="6">
        <v>1716</v>
      </c>
      <c r="I4" s="6">
        <v>0</v>
      </c>
      <c r="J4" s="8">
        <f>A31*A4</f>
        <v>-416686</v>
      </c>
      <c r="K4" s="8">
        <f t="shared" ref="K4:Q4" si="2">B31*B4</f>
        <v>-2622675</v>
      </c>
      <c r="L4" s="8">
        <f t="shared" si="2"/>
        <v>-2877875</v>
      </c>
      <c r="M4" s="8">
        <f t="shared" si="2"/>
        <v>-2245950</v>
      </c>
      <c r="N4" s="8">
        <f t="shared" si="2"/>
        <v>-6194171</v>
      </c>
      <c r="O4" s="8">
        <f t="shared" si="2"/>
        <v>-9317980</v>
      </c>
      <c r="P4" s="8">
        <f t="shared" si="2"/>
        <v>-20734407</v>
      </c>
      <c r="Q4" s="8">
        <f t="shared" si="2"/>
        <v>-9484332</v>
      </c>
      <c r="R4" s="8">
        <f t="shared" ref="R4:R22" si="3">SUM(J4:Q4)</f>
        <v>-53894076</v>
      </c>
      <c r="S4" s="8">
        <f t="shared" ref="S4:S12" si="4">ABS(R4)+1</f>
        <v>53894077</v>
      </c>
      <c r="T4" s="8">
        <f t="shared" si="1"/>
        <v>1</v>
      </c>
      <c r="U4" s="16"/>
    </row>
    <row r="5" spans="1:21" x14ac:dyDescent="0.25">
      <c r="A5" s="6">
        <v>594</v>
      </c>
      <c r="B5" s="6">
        <v>681</v>
      </c>
      <c r="C5" s="6">
        <v>797</v>
      </c>
      <c r="D5" s="6">
        <v>1076</v>
      </c>
      <c r="E5" s="6">
        <v>2530</v>
      </c>
      <c r="F5" s="6">
        <v>4731</v>
      </c>
      <c r="G5" s="6">
        <v>5586</v>
      </c>
      <c r="H5" s="6">
        <v>389</v>
      </c>
      <c r="I5" s="6">
        <v>0</v>
      </c>
      <c r="J5" s="8">
        <f>A31*A5</f>
        <v>-2335014</v>
      </c>
      <c r="K5" s="8">
        <f t="shared" ref="K5:Q5" si="5">B31*B5</f>
        <v>-1910205</v>
      </c>
      <c r="L5" s="8">
        <f t="shared" si="5"/>
        <v>-1668121</v>
      </c>
      <c r="M5" s="8">
        <f t="shared" si="5"/>
        <v>-1856100</v>
      </c>
      <c r="N5" s="8">
        <f t="shared" si="5"/>
        <v>-6494510</v>
      </c>
      <c r="O5" s="8">
        <f t="shared" si="5"/>
        <v>-13932795</v>
      </c>
      <c r="P5" s="8">
        <f t="shared" si="5"/>
        <v>-21556374</v>
      </c>
      <c r="Q5" s="8">
        <f t="shared" si="5"/>
        <v>-2150003</v>
      </c>
      <c r="R5" s="8">
        <f t="shared" si="3"/>
        <v>-51903122</v>
      </c>
      <c r="S5" s="8">
        <f t="shared" si="4"/>
        <v>51903123</v>
      </c>
      <c r="T5" s="8">
        <f t="shared" si="1"/>
        <v>1</v>
      </c>
      <c r="U5" s="16"/>
    </row>
    <row r="6" spans="1:21" x14ac:dyDescent="0.25">
      <c r="A6" s="6">
        <v>591</v>
      </c>
      <c r="B6" s="6">
        <v>898</v>
      </c>
      <c r="C6" s="6">
        <v>301</v>
      </c>
      <c r="D6" s="6">
        <v>1028</v>
      </c>
      <c r="E6" s="6">
        <v>1764</v>
      </c>
      <c r="F6" s="6">
        <v>3884</v>
      </c>
      <c r="G6" s="6">
        <v>4837</v>
      </c>
      <c r="H6" s="6">
        <v>3081</v>
      </c>
      <c r="I6" s="6">
        <v>0</v>
      </c>
      <c r="J6" s="8">
        <f>A31*A6</f>
        <v>-2323221</v>
      </c>
      <c r="K6" s="8">
        <f t="shared" ref="K6:Q6" si="6">B31*B6</f>
        <v>-2518890</v>
      </c>
      <c r="L6" s="8">
        <f t="shared" si="6"/>
        <v>-629993</v>
      </c>
      <c r="M6" s="8">
        <f t="shared" si="6"/>
        <v>-1773300</v>
      </c>
      <c r="N6" s="8">
        <f t="shared" si="6"/>
        <v>-4528188</v>
      </c>
      <c r="O6" s="8">
        <f t="shared" si="6"/>
        <v>-11438380</v>
      </c>
      <c r="P6" s="8">
        <f t="shared" si="6"/>
        <v>-18665983</v>
      </c>
      <c r="Q6" s="8">
        <f t="shared" si="6"/>
        <v>-17028687</v>
      </c>
      <c r="R6" s="8">
        <f t="shared" si="3"/>
        <v>-58906642</v>
      </c>
      <c r="S6" s="8">
        <f t="shared" si="4"/>
        <v>58906643</v>
      </c>
      <c r="T6" s="8">
        <f t="shared" si="1"/>
        <v>1</v>
      </c>
      <c r="U6" s="16"/>
    </row>
    <row r="7" spans="1:21" x14ac:dyDescent="0.25">
      <c r="A7" s="6">
        <v>4419</v>
      </c>
      <c r="B7" s="6">
        <v>1819</v>
      </c>
      <c r="C7" s="6">
        <v>1275</v>
      </c>
      <c r="D7" s="6">
        <v>770</v>
      </c>
      <c r="E7" s="6">
        <v>1673</v>
      </c>
      <c r="F7" s="6">
        <v>2513</v>
      </c>
      <c r="G7" s="6">
        <v>1782</v>
      </c>
      <c r="H7" s="6">
        <v>2133</v>
      </c>
      <c r="I7" s="6">
        <v>0</v>
      </c>
      <c r="J7" s="8">
        <f>A31*A7</f>
        <v>-17371089</v>
      </c>
      <c r="K7" s="8">
        <f t="shared" ref="K7:Q7" si="7">B31*B7</f>
        <v>-5102295</v>
      </c>
      <c r="L7" s="8">
        <f t="shared" si="7"/>
        <v>-2668575</v>
      </c>
      <c r="M7" s="8">
        <f t="shared" si="7"/>
        <v>-1328250</v>
      </c>
      <c r="N7" s="8">
        <f t="shared" si="7"/>
        <v>-4294591</v>
      </c>
      <c r="O7" s="8">
        <f t="shared" si="7"/>
        <v>-7400785</v>
      </c>
      <c r="P7" s="8">
        <f t="shared" si="7"/>
        <v>-6876738</v>
      </c>
      <c r="Q7" s="8">
        <f t="shared" si="7"/>
        <v>-11789091</v>
      </c>
      <c r="R7" s="8">
        <f t="shared" si="3"/>
        <v>-56831414</v>
      </c>
      <c r="S7" s="8">
        <f t="shared" si="4"/>
        <v>56831415</v>
      </c>
      <c r="T7" s="8">
        <f t="shared" si="1"/>
        <v>1</v>
      </c>
      <c r="U7" s="16"/>
    </row>
    <row r="8" spans="1:21" x14ac:dyDescent="0.25">
      <c r="A8" s="6">
        <v>1844</v>
      </c>
      <c r="B8" s="6">
        <v>573</v>
      </c>
      <c r="C8" s="6">
        <v>1831</v>
      </c>
      <c r="D8" s="6">
        <v>1430</v>
      </c>
      <c r="E8" s="6">
        <v>1999</v>
      </c>
      <c r="F8" s="6">
        <v>1652</v>
      </c>
      <c r="G8" s="6">
        <v>3253</v>
      </c>
      <c r="H8" s="6">
        <v>3802</v>
      </c>
      <c r="I8" s="6">
        <v>0</v>
      </c>
      <c r="J8" s="8">
        <f>A31*A8</f>
        <v>-7248764</v>
      </c>
      <c r="K8" s="8">
        <f t="shared" ref="K8:Q8" si="8">B31*B8</f>
        <v>-1607265</v>
      </c>
      <c r="L8" s="8">
        <f t="shared" si="8"/>
        <v>-3832283</v>
      </c>
      <c r="M8" s="8">
        <f t="shared" si="8"/>
        <v>-2466750</v>
      </c>
      <c r="N8" s="8">
        <f t="shared" si="8"/>
        <v>-5131433</v>
      </c>
      <c r="O8" s="8">
        <f t="shared" si="8"/>
        <v>-4865140</v>
      </c>
      <c r="P8" s="8">
        <f t="shared" si="8"/>
        <v>-12553327</v>
      </c>
      <c r="Q8" s="8">
        <f t="shared" si="8"/>
        <v>-21013654</v>
      </c>
      <c r="R8" s="8">
        <f t="shared" si="3"/>
        <v>-58718616</v>
      </c>
      <c r="S8" s="8">
        <f t="shared" si="4"/>
        <v>58718617</v>
      </c>
      <c r="T8" s="8">
        <f t="shared" si="1"/>
        <v>1</v>
      </c>
      <c r="U8" s="16"/>
    </row>
    <row r="9" spans="1:21" x14ac:dyDescent="0.25">
      <c r="A9" s="6">
        <v>1606</v>
      </c>
      <c r="B9" s="6">
        <v>1636</v>
      </c>
      <c r="C9" s="6">
        <v>1748</v>
      </c>
      <c r="D9" s="6">
        <v>1997</v>
      </c>
      <c r="E9" s="6">
        <v>2704</v>
      </c>
      <c r="F9" s="6">
        <v>1568</v>
      </c>
      <c r="G9" s="6">
        <v>2669</v>
      </c>
      <c r="H9" s="6">
        <v>2456</v>
      </c>
      <c r="I9" s="6">
        <v>0</v>
      </c>
      <c r="J9" s="8">
        <f>A31*A9</f>
        <v>-6313186</v>
      </c>
      <c r="K9" s="8">
        <f t="shared" ref="K9:Q9" si="9">B31*B9</f>
        <v>-4588980</v>
      </c>
      <c r="L9" s="8">
        <f t="shared" si="9"/>
        <v>-3658564</v>
      </c>
      <c r="M9" s="8">
        <f t="shared" si="9"/>
        <v>-3444825</v>
      </c>
      <c r="N9" s="8">
        <f t="shared" si="9"/>
        <v>-6941168</v>
      </c>
      <c r="O9" s="8">
        <f t="shared" si="9"/>
        <v>-4617760</v>
      </c>
      <c r="P9" s="8">
        <f t="shared" si="9"/>
        <v>-10299671</v>
      </c>
      <c r="Q9" s="8">
        <f t="shared" si="9"/>
        <v>-13574312</v>
      </c>
      <c r="R9" s="8">
        <f t="shared" si="3"/>
        <v>-53438466</v>
      </c>
      <c r="S9" s="8">
        <f t="shared" si="4"/>
        <v>53438467</v>
      </c>
      <c r="T9" s="8">
        <f t="shared" si="1"/>
        <v>1</v>
      </c>
      <c r="U9" s="16"/>
    </row>
    <row r="10" spans="1:21" x14ac:dyDescent="0.25">
      <c r="A10" s="6">
        <v>821</v>
      </c>
      <c r="B10" s="6">
        <v>1215</v>
      </c>
      <c r="C10" s="6">
        <v>586</v>
      </c>
      <c r="D10" s="6">
        <v>1332</v>
      </c>
      <c r="E10" s="6">
        <v>4814</v>
      </c>
      <c r="F10" s="6">
        <v>3932</v>
      </c>
      <c r="G10" s="6">
        <v>2967</v>
      </c>
      <c r="H10" s="6">
        <v>717</v>
      </c>
      <c r="I10" s="6">
        <v>0</v>
      </c>
      <c r="J10" s="8">
        <f>A31*A10</f>
        <v>-3227351</v>
      </c>
      <c r="K10" s="8">
        <f t="shared" ref="K10:Q10" si="10">B31*B10</f>
        <v>-3408075</v>
      </c>
      <c r="L10" s="8">
        <f t="shared" si="10"/>
        <v>-1226498</v>
      </c>
      <c r="M10" s="8">
        <f t="shared" si="10"/>
        <v>-2297700</v>
      </c>
      <c r="N10" s="8">
        <f t="shared" si="10"/>
        <v>-12357538</v>
      </c>
      <c r="O10" s="8">
        <f t="shared" si="10"/>
        <v>-11579740</v>
      </c>
      <c r="P10" s="8">
        <f t="shared" si="10"/>
        <v>-11449653</v>
      </c>
      <c r="Q10" s="8">
        <f t="shared" si="10"/>
        <v>-3962859</v>
      </c>
      <c r="R10" s="8">
        <f t="shared" si="3"/>
        <v>-49509414</v>
      </c>
      <c r="S10" s="8">
        <f t="shared" si="4"/>
        <v>49509415</v>
      </c>
      <c r="T10" s="8">
        <f t="shared" si="1"/>
        <v>1</v>
      </c>
      <c r="U10" s="16"/>
    </row>
    <row r="11" spans="1:21" x14ac:dyDescent="0.25">
      <c r="A11" s="6">
        <v>303</v>
      </c>
      <c r="B11" s="6">
        <v>487</v>
      </c>
      <c r="C11" s="6">
        <v>651</v>
      </c>
      <c r="D11" s="6">
        <v>1344</v>
      </c>
      <c r="E11" s="6">
        <v>2190</v>
      </c>
      <c r="F11" s="6">
        <v>3510</v>
      </c>
      <c r="G11" s="6">
        <v>4600</v>
      </c>
      <c r="H11" s="6">
        <v>3299</v>
      </c>
      <c r="I11" s="6">
        <v>0</v>
      </c>
      <c r="J11" s="8">
        <f>A31*A11</f>
        <v>-1191093</v>
      </c>
      <c r="K11" s="8">
        <f t="shared" ref="K11:Q11" si="11">B31*B11</f>
        <v>-1366035</v>
      </c>
      <c r="L11" s="8">
        <f t="shared" si="11"/>
        <v>-1362543</v>
      </c>
      <c r="M11" s="8">
        <f t="shared" si="11"/>
        <v>-2318400</v>
      </c>
      <c r="N11" s="8">
        <f t="shared" si="11"/>
        <v>-5621730</v>
      </c>
      <c r="O11" s="8">
        <f t="shared" si="11"/>
        <v>-10336950</v>
      </c>
      <c r="P11" s="8">
        <f t="shared" si="11"/>
        <v>-17751400</v>
      </c>
      <c r="Q11" s="8">
        <f t="shared" si="11"/>
        <v>-18233573</v>
      </c>
      <c r="R11" s="8">
        <f t="shared" si="3"/>
        <v>-58181724</v>
      </c>
      <c r="S11" s="8">
        <f t="shared" si="4"/>
        <v>58181725</v>
      </c>
      <c r="T11" s="8">
        <f t="shared" si="1"/>
        <v>1</v>
      </c>
      <c r="U11" s="16"/>
    </row>
    <row r="12" spans="1:21" x14ac:dyDescent="0.25">
      <c r="A12" s="6">
        <v>1091</v>
      </c>
      <c r="B12" s="6">
        <v>501</v>
      </c>
      <c r="C12" s="6">
        <v>720</v>
      </c>
      <c r="D12" s="6">
        <v>1224</v>
      </c>
      <c r="E12" s="6">
        <v>1758</v>
      </c>
      <c r="F12" s="6">
        <v>5041</v>
      </c>
      <c r="G12" s="6">
        <v>3755</v>
      </c>
      <c r="H12" s="6">
        <v>2294</v>
      </c>
      <c r="I12" s="6">
        <v>0</v>
      </c>
      <c r="J12" s="8">
        <f>A31*A12</f>
        <v>-4288721</v>
      </c>
      <c r="K12" s="8">
        <f t="shared" ref="K12:Q12" si="12">B31*B12</f>
        <v>-1405305</v>
      </c>
      <c r="L12" s="8">
        <f t="shared" si="12"/>
        <v>-1506960</v>
      </c>
      <c r="M12" s="8">
        <f t="shared" si="12"/>
        <v>-2111400</v>
      </c>
      <c r="N12" s="8">
        <f t="shared" si="12"/>
        <v>-4512786</v>
      </c>
      <c r="O12" s="8">
        <f t="shared" si="12"/>
        <v>-14845745</v>
      </c>
      <c r="P12" s="8">
        <f t="shared" si="12"/>
        <v>-14490545</v>
      </c>
      <c r="Q12" s="8">
        <f t="shared" si="12"/>
        <v>-12678938</v>
      </c>
      <c r="R12" s="8">
        <f t="shared" si="3"/>
        <v>-55840400</v>
      </c>
      <c r="S12" s="8">
        <f t="shared" si="4"/>
        <v>55840401</v>
      </c>
      <c r="T12" s="8">
        <f t="shared" si="1"/>
        <v>1</v>
      </c>
      <c r="U12" s="16"/>
    </row>
    <row r="13" spans="1:21" x14ac:dyDescent="0.25">
      <c r="A13" s="7">
        <v>2864</v>
      </c>
      <c r="B13" s="7">
        <v>2805</v>
      </c>
      <c r="C13" s="7">
        <v>1117</v>
      </c>
      <c r="D13" s="7">
        <v>994</v>
      </c>
      <c r="E13" s="7">
        <v>2517</v>
      </c>
      <c r="F13" s="7">
        <v>1821</v>
      </c>
      <c r="G13" s="7">
        <v>1763</v>
      </c>
      <c r="H13" s="7">
        <v>2503</v>
      </c>
      <c r="I13" s="7">
        <v>1</v>
      </c>
      <c r="J13" s="9">
        <f>A31*A13</f>
        <v>-11258384</v>
      </c>
      <c r="K13" s="9">
        <f t="shared" ref="K13:Q13" si="13">B31*B13</f>
        <v>-7868025</v>
      </c>
      <c r="L13" s="9">
        <f t="shared" si="13"/>
        <v>-2337881</v>
      </c>
      <c r="M13" s="9">
        <f t="shared" si="13"/>
        <v>-1714650</v>
      </c>
      <c r="N13" s="9">
        <f t="shared" si="13"/>
        <v>-6461139</v>
      </c>
      <c r="O13" s="9">
        <f t="shared" si="13"/>
        <v>-5362845</v>
      </c>
      <c r="P13" s="9">
        <f t="shared" si="13"/>
        <v>-6803417</v>
      </c>
      <c r="Q13" s="9">
        <f t="shared" si="13"/>
        <v>-13834081</v>
      </c>
      <c r="R13" s="9">
        <f t="shared" si="3"/>
        <v>-55640422</v>
      </c>
      <c r="S13" s="9">
        <f>ABS(R13)-1</f>
        <v>55640421</v>
      </c>
      <c r="T13" s="9">
        <f t="shared" si="1"/>
        <v>-1</v>
      </c>
      <c r="U13" s="16"/>
    </row>
    <row r="14" spans="1:21" x14ac:dyDescent="0.25">
      <c r="A14" s="7">
        <v>4037</v>
      </c>
      <c r="B14" s="7">
        <v>2773</v>
      </c>
      <c r="C14" s="7">
        <v>1621</v>
      </c>
      <c r="D14" s="7">
        <v>2495</v>
      </c>
      <c r="E14" s="7">
        <v>1797</v>
      </c>
      <c r="F14" s="7">
        <v>1754</v>
      </c>
      <c r="G14" s="7">
        <v>1571</v>
      </c>
      <c r="H14" s="7">
        <v>336</v>
      </c>
      <c r="I14" s="7">
        <v>1</v>
      </c>
      <c r="J14" s="9">
        <f>A31*A14</f>
        <v>-15869447</v>
      </c>
      <c r="K14" s="9">
        <f t="shared" ref="K14:Q14" si="14">B31*B14</f>
        <v>-7778265</v>
      </c>
      <c r="L14" s="9">
        <f t="shared" si="14"/>
        <v>-3392753</v>
      </c>
      <c r="M14" s="9">
        <f t="shared" si="14"/>
        <v>-4303875</v>
      </c>
      <c r="N14" s="9">
        <f t="shared" si="14"/>
        <v>-4612899</v>
      </c>
      <c r="O14" s="9">
        <f t="shared" si="14"/>
        <v>-5165530</v>
      </c>
      <c r="P14" s="9">
        <f t="shared" si="14"/>
        <v>-6062489</v>
      </c>
      <c r="Q14" s="9">
        <f t="shared" si="14"/>
        <v>-1857072</v>
      </c>
      <c r="R14" s="9">
        <f t="shared" si="3"/>
        <v>-49042330</v>
      </c>
      <c r="S14" s="9">
        <f t="shared" ref="S14:S22" si="15">ABS(R14)-1</f>
        <v>49042329</v>
      </c>
      <c r="T14" s="9">
        <f t="shared" si="1"/>
        <v>-1</v>
      </c>
      <c r="U14" s="16"/>
    </row>
    <row r="15" spans="1:21" x14ac:dyDescent="0.25">
      <c r="A15" s="7">
        <v>668</v>
      </c>
      <c r="B15" s="7">
        <v>283</v>
      </c>
      <c r="C15" s="7">
        <v>1446</v>
      </c>
      <c r="D15" s="7">
        <v>1554</v>
      </c>
      <c r="E15" s="7">
        <v>2967</v>
      </c>
      <c r="F15" s="7">
        <v>2872</v>
      </c>
      <c r="G15" s="7">
        <v>2941</v>
      </c>
      <c r="H15" s="7">
        <v>3653</v>
      </c>
      <c r="I15" s="7">
        <v>1</v>
      </c>
      <c r="J15" s="9">
        <f>A31*A15</f>
        <v>-2625908</v>
      </c>
      <c r="K15" s="9">
        <f t="shared" ref="K15:Q15" si="16">B31*B15</f>
        <v>-793815</v>
      </c>
      <c r="L15" s="9">
        <f t="shared" si="16"/>
        <v>-3026478</v>
      </c>
      <c r="M15" s="9">
        <f t="shared" si="16"/>
        <v>-2680650</v>
      </c>
      <c r="N15" s="9">
        <f t="shared" si="16"/>
        <v>-7616289</v>
      </c>
      <c r="O15" s="9">
        <f t="shared" si="16"/>
        <v>-8458040</v>
      </c>
      <c r="P15" s="9">
        <f t="shared" si="16"/>
        <v>-11349319</v>
      </c>
      <c r="Q15" s="9">
        <f t="shared" si="16"/>
        <v>-20190131</v>
      </c>
      <c r="R15" s="9">
        <f t="shared" si="3"/>
        <v>-56740630</v>
      </c>
      <c r="S15" s="9">
        <f t="shared" si="15"/>
        <v>56740629</v>
      </c>
      <c r="T15" s="9">
        <f t="shared" si="1"/>
        <v>-1</v>
      </c>
      <c r="U15" s="16"/>
    </row>
    <row r="16" spans="1:21" x14ac:dyDescent="0.25">
      <c r="A16" s="7">
        <v>293</v>
      </c>
      <c r="B16" s="7">
        <v>424</v>
      </c>
      <c r="C16" s="7">
        <v>840</v>
      </c>
      <c r="D16" s="7">
        <v>1105</v>
      </c>
      <c r="E16" s="7">
        <v>4240</v>
      </c>
      <c r="F16" s="7">
        <v>3377</v>
      </c>
      <c r="G16" s="7">
        <v>3880</v>
      </c>
      <c r="H16" s="7">
        <v>2225</v>
      </c>
      <c r="I16" s="7">
        <v>1</v>
      </c>
      <c r="J16" s="9">
        <f>A31*A16</f>
        <v>-1151783</v>
      </c>
      <c r="K16" s="9">
        <f t="shared" ref="K16:Q16" si="17">B31*B16</f>
        <v>-1189320</v>
      </c>
      <c r="L16" s="9">
        <f t="shared" si="17"/>
        <v>-1758120</v>
      </c>
      <c r="M16" s="9">
        <f t="shared" si="17"/>
        <v>-1906125</v>
      </c>
      <c r="N16" s="9">
        <f t="shared" si="17"/>
        <v>-10884080</v>
      </c>
      <c r="O16" s="9">
        <f t="shared" si="17"/>
        <v>-9945265</v>
      </c>
      <c r="P16" s="9">
        <f t="shared" si="17"/>
        <v>-14972920</v>
      </c>
      <c r="Q16" s="9">
        <f t="shared" si="17"/>
        <v>-12297575</v>
      </c>
      <c r="R16" s="9">
        <f t="shared" si="3"/>
        <v>-54105188</v>
      </c>
      <c r="S16" s="9">
        <f t="shared" si="15"/>
        <v>54105187</v>
      </c>
      <c r="T16" s="9">
        <f t="shared" si="1"/>
        <v>-1</v>
      </c>
      <c r="U16" s="16"/>
    </row>
    <row r="17" spans="1:21" x14ac:dyDescent="0.25">
      <c r="A17" s="7">
        <v>1370</v>
      </c>
      <c r="B17" s="7">
        <v>1930</v>
      </c>
      <c r="C17" s="7">
        <v>337</v>
      </c>
      <c r="D17" s="7">
        <v>814</v>
      </c>
      <c r="E17" s="7">
        <v>2352</v>
      </c>
      <c r="F17" s="7">
        <v>3740</v>
      </c>
      <c r="G17" s="7">
        <v>3204</v>
      </c>
      <c r="H17" s="7">
        <v>2637</v>
      </c>
      <c r="I17" s="7">
        <v>1</v>
      </c>
      <c r="J17" s="9">
        <f>A31*A17</f>
        <v>-5385470</v>
      </c>
      <c r="K17" s="9">
        <f t="shared" ref="K17:Q17" si="18">B31*B17</f>
        <v>-5413650</v>
      </c>
      <c r="L17" s="9">
        <f t="shared" si="18"/>
        <v>-705341</v>
      </c>
      <c r="M17" s="9">
        <f t="shared" si="18"/>
        <v>-1404150</v>
      </c>
      <c r="N17" s="9">
        <f t="shared" si="18"/>
        <v>-6037584</v>
      </c>
      <c r="O17" s="9">
        <f t="shared" si="18"/>
        <v>-11014300</v>
      </c>
      <c r="P17" s="9">
        <f t="shared" si="18"/>
        <v>-12364236</v>
      </c>
      <c r="Q17" s="9">
        <f t="shared" si="18"/>
        <v>-14574699</v>
      </c>
      <c r="R17" s="9">
        <f t="shared" si="3"/>
        <v>-56899430</v>
      </c>
      <c r="S17" s="9">
        <f t="shared" si="15"/>
        <v>56899429</v>
      </c>
      <c r="T17" s="9">
        <f t="shared" si="1"/>
        <v>-1</v>
      </c>
      <c r="U17" s="16"/>
    </row>
    <row r="18" spans="1:21" x14ac:dyDescent="0.25">
      <c r="A18" s="7">
        <v>307</v>
      </c>
      <c r="B18" s="7">
        <v>445</v>
      </c>
      <c r="C18" s="7">
        <v>1091</v>
      </c>
      <c r="D18" s="7">
        <v>1528</v>
      </c>
      <c r="E18" s="7">
        <v>2975</v>
      </c>
      <c r="F18" s="7">
        <v>4513</v>
      </c>
      <c r="G18" s="7">
        <v>3275</v>
      </c>
      <c r="H18" s="7">
        <v>2250</v>
      </c>
      <c r="I18" s="7">
        <v>1</v>
      </c>
      <c r="J18" s="9">
        <f>A31*A18</f>
        <v>-1206817</v>
      </c>
      <c r="K18" s="9">
        <f t="shared" ref="K18:Q18" si="19">B31*B18</f>
        <v>-1248225</v>
      </c>
      <c r="L18" s="9">
        <f t="shared" si="19"/>
        <v>-2283463</v>
      </c>
      <c r="M18" s="9">
        <f t="shared" si="19"/>
        <v>-2635800</v>
      </c>
      <c r="N18" s="9">
        <f t="shared" si="19"/>
        <v>-7636825</v>
      </c>
      <c r="O18" s="9">
        <f t="shared" si="19"/>
        <v>-13290785</v>
      </c>
      <c r="P18" s="9">
        <f t="shared" si="19"/>
        <v>-12638225</v>
      </c>
      <c r="Q18" s="9">
        <f t="shared" si="19"/>
        <v>-12435750</v>
      </c>
      <c r="R18" s="9">
        <f t="shared" si="3"/>
        <v>-53375890</v>
      </c>
      <c r="S18" s="9">
        <f t="shared" si="15"/>
        <v>53375889</v>
      </c>
      <c r="T18" s="9">
        <f t="shared" si="1"/>
        <v>-1</v>
      </c>
      <c r="U18" s="16"/>
    </row>
    <row r="19" spans="1:21" x14ac:dyDescent="0.25">
      <c r="A19" s="7">
        <v>2460</v>
      </c>
      <c r="B19" s="7">
        <v>323</v>
      </c>
      <c r="C19" s="7">
        <v>693</v>
      </c>
      <c r="D19" s="7">
        <v>1346</v>
      </c>
      <c r="E19" s="7">
        <v>1089</v>
      </c>
      <c r="F19" s="7">
        <v>3261</v>
      </c>
      <c r="G19" s="7">
        <v>2422</v>
      </c>
      <c r="H19" s="7">
        <v>4790</v>
      </c>
      <c r="I19" s="7">
        <v>1</v>
      </c>
      <c r="J19" s="9">
        <f>A31*A19</f>
        <v>-9670260</v>
      </c>
      <c r="K19" s="9">
        <f t="shared" ref="K19:Q19" si="20">B31*B19</f>
        <v>-906015</v>
      </c>
      <c r="L19" s="9">
        <f t="shared" si="20"/>
        <v>-1450449</v>
      </c>
      <c r="M19" s="9">
        <f t="shared" si="20"/>
        <v>-2321850</v>
      </c>
      <c r="N19" s="9">
        <f t="shared" si="20"/>
        <v>-2795463</v>
      </c>
      <c r="O19" s="9">
        <f t="shared" si="20"/>
        <v>-9603645</v>
      </c>
      <c r="P19" s="9">
        <f t="shared" si="20"/>
        <v>-9346498</v>
      </c>
      <c r="Q19" s="9">
        <f t="shared" si="20"/>
        <v>-26474330</v>
      </c>
      <c r="R19" s="9">
        <f t="shared" si="3"/>
        <v>-62568510</v>
      </c>
      <c r="S19" s="9">
        <f t="shared" si="15"/>
        <v>62568509</v>
      </c>
      <c r="T19" s="9">
        <f t="shared" si="1"/>
        <v>-1</v>
      </c>
      <c r="U19" s="16"/>
    </row>
    <row r="20" spans="1:21" x14ac:dyDescent="0.25">
      <c r="A20" s="7">
        <v>322</v>
      </c>
      <c r="B20" s="7">
        <v>294</v>
      </c>
      <c r="C20" s="7">
        <v>460</v>
      </c>
      <c r="D20" s="7">
        <v>1204</v>
      </c>
      <c r="E20" s="7">
        <v>2401</v>
      </c>
      <c r="F20" s="7">
        <v>4397</v>
      </c>
      <c r="G20" s="7">
        <v>5635</v>
      </c>
      <c r="H20" s="7">
        <v>1671</v>
      </c>
      <c r="I20" s="7">
        <v>1</v>
      </c>
      <c r="J20" s="9">
        <f>A31*A20</f>
        <v>-1265782</v>
      </c>
      <c r="K20" s="9">
        <f t="shared" ref="K20:Q20" si="21">B31*B20</f>
        <v>-824670</v>
      </c>
      <c r="L20" s="9">
        <f t="shared" si="21"/>
        <v>-962780</v>
      </c>
      <c r="M20" s="9">
        <f t="shared" si="21"/>
        <v>-2076900</v>
      </c>
      <c r="N20" s="9">
        <f t="shared" si="21"/>
        <v>-6163367</v>
      </c>
      <c r="O20" s="9">
        <f t="shared" si="21"/>
        <v>-12949165</v>
      </c>
      <c r="P20" s="9">
        <f t="shared" si="21"/>
        <v>-21745465</v>
      </c>
      <c r="Q20" s="9">
        <f t="shared" si="21"/>
        <v>-9235617</v>
      </c>
      <c r="R20" s="9">
        <f t="shared" si="3"/>
        <v>-55223746</v>
      </c>
      <c r="S20" s="9">
        <f t="shared" si="15"/>
        <v>55223745</v>
      </c>
      <c r="T20" s="9">
        <f t="shared" si="1"/>
        <v>-1</v>
      </c>
      <c r="U20" s="16"/>
    </row>
    <row r="21" spans="1:21" x14ac:dyDescent="0.25">
      <c r="A21" s="7">
        <v>622</v>
      </c>
      <c r="B21" s="7">
        <v>852</v>
      </c>
      <c r="C21" s="7">
        <v>2394</v>
      </c>
      <c r="D21" s="7">
        <v>461</v>
      </c>
      <c r="E21" s="7">
        <v>2144</v>
      </c>
      <c r="F21" s="7">
        <v>2799</v>
      </c>
      <c r="G21" s="7">
        <v>5641</v>
      </c>
      <c r="H21" s="7">
        <v>1471</v>
      </c>
      <c r="I21" s="7">
        <v>1</v>
      </c>
      <c r="J21" s="9">
        <f>A31*A21</f>
        <v>-2445082</v>
      </c>
      <c r="K21" s="9">
        <f t="shared" ref="K21:Q21" si="22">B31*B21</f>
        <v>-2389860</v>
      </c>
      <c r="L21" s="9">
        <f t="shared" si="22"/>
        <v>-5010642</v>
      </c>
      <c r="M21" s="9">
        <f t="shared" si="22"/>
        <v>-795225</v>
      </c>
      <c r="N21" s="9">
        <f t="shared" si="22"/>
        <v>-5503648</v>
      </c>
      <c r="O21" s="9">
        <f t="shared" si="22"/>
        <v>-8243055</v>
      </c>
      <c r="P21" s="9">
        <f t="shared" si="22"/>
        <v>-21768619</v>
      </c>
      <c r="Q21" s="9">
        <f t="shared" si="22"/>
        <v>-8130217</v>
      </c>
      <c r="R21" s="9">
        <f t="shared" si="3"/>
        <v>-54286348</v>
      </c>
      <c r="S21" s="9">
        <f t="shared" si="15"/>
        <v>54286347</v>
      </c>
      <c r="T21" s="9">
        <f t="shared" si="1"/>
        <v>-1</v>
      </c>
      <c r="U21" s="16"/>
    </row>
    <row r="22" spans="1:21" x14ac:dyDescent="0.25">
      <c r="A22" s="7">
        <v>1447</v>
      </c>
      <c r="B22" s="7">
        <v>1549</v>
      </c>
      <c r="C22" s="7">
        <v>1023</v>
      </c>
      <c r="D22" s="7">
        <v>331</v>
      </c>
      <c r="E22" s="7">
        <v>715</v>
      </c>
      <c r="F22" s="7">
        <v>1830</v>
      </c>
      <c r="G22" s="7">
        <v>3573</v>
      </c>
      <c r="H22" s="7">
        <v>5916</v>
      </c>
      <c r="I22" s="7">
        <v>1</v>
      </c>
      <c r="J22" s="9">
        <f>A31*A22</f>
        <v>-5688157</v>
      </c>
      <c r="K22" s="9">
        <f t="shared" ref="K22:Q22" si="23">B31*B22</f>
        <v>-4344945</v>
      </c>
      <c r="L22" s="9">
        <f t="shared" si="23"/>
        <v>-2141139</v>
      </c>
      <c r="M22" s="9">
        <f t="shared" si="23"/>
        <v>-570975</v>
      </c>
      <c r="N22" s="9">
        <f t="shared" si="23"/>
        <v>-1835405</v>
      </c>
      <c r="O22" s="9">
        <f t="shared" si="23"/>
        <v>-5389350</v>
      </c>
      <c r="P22" s="9">
        <f t="shared" si="23"/>
        <v>-13788207</v>
      </c>
      <c r="Q22" s="9">
        <f t="shared" si="23"/>
        <v>-32697732</v>
      </c>
      <c r="R22" s="9">
        <f t="shared" si="3"/>
        <v>-66455910</v>
      </c>
      <c r="S22" s="9">
        <f t="shared" si="15"/>
        <v>66455909</v>
      </c>
      <c r="T22" s="9">
        <f t="shared" si="1"/>
        <v>-1</v>
      </c>
      <c r="U22" s="16"/>
    </row>
    <row r="23" spans="1:21" x14ac:dyDescent="0.25">
      <c r="J23" s="1"/>
    </row>
    <row r="24" spans="1:21" x14ac:dyDescent="0.25">
      <c r="A24" t="s">
        <v>54</v>
      </c>
      <c r="J24" s="1"/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  <c r="J25" s="1"/>
    </row>
    <row r="26" spans="1:21" x14ac:dyDescent="0.25">
      <c r="A26" s="6">
        <f t="shared" ref="A26:H26" si="24">MIN(A3:A12)</f>
        <v>106</v>
      </c>
      <c r="B26" s="6">
        <f t="shared" si="24"/>
        <v>0</v>
      </c>
      <c r="C26" s="6">
        <f t="shared" si="24"/>
        <v>301</v>
      </c>
      <c r="D26" s="6">
        <f t="shared" si="24"/>
        <v>770</v>
      </c>
      <c r="E26" s="6">
        <f t="shared" si="24"/>
        <v>1673</v>
      </c>
      <c r="F26" s="6">
        <f t="shared" si="24"/>
        <v>1568</v>
      </c>
      <c r="G26" s="6">
        <f t="shared" si="24"/>
        <v>1782</v>
      </c>
      <c r="H26" s="6">
        <f t="shared" si="24"/>
        <v>389</v>
      </c>
      <c r="I26" s="6">
        <v>0</v>
      </c>
      <c r="J26" s="1"/>
    </row>
    <row r="27" spans="1:21" x14ac:dyDescent="0.25">
      <c r="A27" s="7">
        <f t="shared" ref="A27:H27" si="25">MAX(A13:A22)</f>
        <v>4037</v>
      </c>
      <c r="B27" s="7">
        <f t="shared" si="25"/>
        <v>2805</v>
      </c>
      <c r="C27" s="7">
        <f t="shared" si="25"/>
        <v>2394</v>
      </c>
      <c r="D27" s="7">
        <f t="shared" si="25"/>
        <v>2495</v>
      </c>
      <c r="E27" s="7">
        <f t="shared" si="25"/>
        <v>4240</v>
      </c>
      <c r="F27" s="7">
        <f t="shared" si="25"/>
        <v>4513</v>
      </c>
      <c r="G27" s="7">
        <f t="shared" si="25"/>
        <v>5641</v>
      </c>
      <c r="H27" s="7">
        <f t="shared" si="25"/>
        <v>5916</v>
      </c>
      <c r="I27" s="7">
        <v>1</v>
      </c>
      <c r="J27" s="1"/>
    </row>
    <row r="28" spans="1:21" x14ac:dyDescent="0.25">
      <c r="J28" s="1"/>
    </row>
    <row r="29" spans="1:21" x14ac:dyDescent="0.25">
      <c r="A29" t="s">
        <v>55</v>
      </c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-3931</v>
      </c>
      <c r="B31" s="2">
        <f t="shared" ref="B31:H31" si="26">SUM(B26-B27)</f>
        <v>-2805</v>
      </c>
      <c r="C31" s="2">
        <f t="shared" si="26"/>
        <v>-2093</v>
      </c>
      <c r="D31" s="2">
        <f t="shared" si="26"/>
        <v>-1725</v>
      </c>
      <c r="E31" s="2">
        <f t="shared" si="26"/>
        <v>-2567</v>
      </c>
      <c r="F31" s="2">
        <f t="shared" si="26"/>
        <v>-2945</v>
      </c>
      <c r="G31" s="2">
        <f t="shared" si="26"/>
        <v>-3859</v>
      </c>
      <c r="H31" s="2">
        <f t="shared" si="26"/>
        <v>-5527</v>
      </c>
    </row>
    <row r="32" spans="1:21" x14ac:dyDescent="0.25">
      <c r="J32" s="1"/>
    </row>
    <row r="33" spans="1:22" x14ac:dyDescent="0.25">
      <c r="A33" t="s">
        <v>20</v>
      </c>
      <c r="B33" s="1"/>
      <c r="J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2439</v>
      </c>
      <c r="B35" s="2">
        <v>657</v>
      </c>
      <c r="C35" s="2">
        <v>1008</v>
      </c>
      <c r="D35" s="2">
        <v>891</v>
      </c>
      <c r="E35" s="2">
        <v>804</v>
      </c>
      <c r="F35" s="2">
        <v>3532</v>
      </c>
      <c r="G35" s="2">
        <v>3221</v>
      </c>
      <c r="H35" s="2">
        <v>3832</v>
      </c>
      <c r="I35" s="3">
        <v>0</v>
      </c>
      <c r="J35" s="5">
        <f t="shared" ref="J35:Q35" si="27">A31*A35</f>
        <v>-9587709</v>
      </c>
      <c r="K35" s="5">
        <f t="shared" si="27"/>
        <v>-1842885</v>
      </c>
      <c r="L35" s="5">
        <f t="shared" si="27"/>
        <v>-2109744</v>
      </c>
      <c r="M35" s="5">
        <f t="shared" si="27"/>
        <v>-1536975</v>
      </c>
      <c r="N35" s="5">
        <f t="shared" si="27"/>
        <v>-2063868</v>
      </c>
      <c r="O35" s="5">
        <f t="shared" si="27"/>
        <v>-10401740</v>
      </c>
      <c r="P35" s="5">
        <f t="shared" si="27"/>
        <v>-12429839</v>
      </c>
      <c r="Q35" s="5">
        <f t="shared" si="27"/>
        <v>-21179464</v>
      </c>
      <c r="R35" s="14">
        <f>SUM(J35:Q35)</f>
        <v>-61152224</v>
      </c>
      <c r="S35" s="14">
        <f>MEDIAN(S3:S22)</f>
        <v>55432083</v>
      </c>
      <c r="T35" s="14">
        <v>1</v>
      </c>
      <c r="U35" s="14">
        <f>SUM(R35+S35+T35)</f>
        <v>-5720140</v>
      </c>
      <c r="V35" s="2">
        <f>IF(U35&gt;0,0,1)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EAE3-473D-406E-8BF0-9842479B176F}">
  <dimension ref="A1:V35"/>
  <sheetViews>
    <sheetView topLeftCell="A25" zoomScale="70" zoomScaleNormal="70" workbookViewId="0">
      <selection activeCell="A25" sqref="A25"/>
    </sheetView>
  </sheetViews>
  <sheetFormatPr defaultRowHeight="15" x14ac:dyDescent="0.25"/>
  <cols>
    <col min="9" max="9" width="7.28515625" bestFit="1" customWidth="1"/>
    <col min="10" max="10" width="10.7109375" bestFit="1" customWidth="1"/>
    <col min="11" max="11" width="10" bestFit="1" customWidth="1"/>
    <col min="12" max="17" width="10.7109375" bestFit="1" customWidth="1"/>
    <col min="18" max="18" width="17.7109375" bestFit="1" customWidth="1"/>
    <col min="19" max="19" width="14.42578125" bestFit="1" customWidth="1"/>
    <col min="20" max="21" width="5.7109375" bestFit="1" customWidth="1"/>
    <col min="22" max="22" width="21.140625" bestFit="1" customWidth="1"/>
  </cols>
  <sheetData>
    <row r="1" spans="1:21" x14ac:dyDescent="0.25">
      <c r="A1" t="s">
        <v>21</v>
      </c>
      <c r="J1" s="1"/>
    </row>
    <row r="2" spans="1:2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1" x14ac:dyDescent="0.25">
      <c r="A3" s="6">
        <v>0.45500000000000002</v>
      </c>
      <c r="B3" s="6">
        <v>0.13900000000000001</v>
      </c>
      <c r="C3" s="6">
        <v>0.13700000000000001</v>
      </c>
      <c r="D3" s="6">
        <v>6.3E-2</v>
      </c>
      <c r="E3" s="6">
        <v>3.5999999999999997E-2</v>
      </c>
      <c r="F3" s="6">
        <v>3.5000000000000003E-2</v>
      </c>
      <c r="G3" s="6">
        <v>2.5000000000000001E-2</v>
      </c>
      <c r="H3" s="6">
        <v>1.2999999999999999E-2</v>
      </c>
      <c r="I3" s="6">
        <v>0</v>
      </c>
      <c r="J3" s="19">
        <f>A31*A3</f>
        <v>-3.9130000000000012E-2</v>
      </c>
      <c r="K3" s="19">
        <f t="shared" ref="K3:Q3" si="0">B31*B3</f>
        <v>-2.8078000000000006E-2</v>
      </c>
      <c r="L3" s="19">
        <f t="shared" si="0"/>
        <v>-1.0001000000000001E-2</v>
      </c>
      <c r="M3" s="19">
        <f t="shared" si="0"/>
        <v>-4.725E-3</v>
      </c>
      <c r="N3" s="19">
        <f t="shared" si="0"/>
        <v>-1.3320000000000001E-3</v>
      </c>
      <c r="O3" s="19">
        <f t="shared" si="0"/>
        <v>-1.0150000000000001E-3</v>
      </c>
      <c r="P3" s="19">
        <f t="shared" si="0"/>
        <v>-6.2500000000000012E-4</v>
      </c>
      <c r="Q3" s="19">
        <f t="shared" si="0"/>
        <v>-2.3400000000000002E-4</v>
      </c>
      <c r="R3" s="19">
        <f>SUM(J3:Q3)</f>
        <v>-8.5140000000000007E-2</v>
      </c>
      <c r="S3" s="19">
        <f>ABS(R3)+1</f>
        <v>1.08514</v>
      </c>
      <c r="T3" s="19">
        <f t="shared" ref="T3:T22" si="1">R3+S3</f>
        <v>1</v>
      </c>
      <c r="U3" s="16"/>
    </row>
    <row r="4" spans="1:21" x14ac:dyDescent="0.25">
      <c r="A4" s="6">
        <v>0.49399999999999999</v>
      </c>
      <c r="B4" s="6">
        <v>0.13400000000000001</v>
      </c>
      <c r="C4" s="6">
        <v>0.11799999999999999</v>
      </c>
      <c r="D4" s="6">
        <v>0.09</v>
      </c>
      <c r="E4" s="6">
        <v>5.5E-2</v>
      </c>
      <c r="F4" s="6">
        <v>2.5000000000000001E-2</v>
      </c>
      <c r="G4" s="6">
        <v>1.4999999999999999E-2</v>
      </c>
      <c r="H4" s="6">
        <v>1.0999999999999999E-2</v>
      </c>
      <c r="I4" s="6">
        <v>0</v>
      </c>
      <c r="J4" s="19">
        <f>A31*A4</f>
        <v>-4.2484000000000008E-2</v>
      </c>
      <c r="K4" s="19">
        <f t="shared" ref="K4:Q4" si="2">B31*B4</f>
        <v>-2.7068000000000002E-2</v>
      </c>
      <c r="L4" s="19">
        <f t="shared" si="2"/>
        <v>-8.6140000000000001E-3</v>
      </c>
      <c r="M4" s="19">
        <f t="shared" si="2"/>
        <v>-6.7499999999999999E-3</v>
      </c>
      <c r="N4" s="19">
        <f t="shared" si="2"/>
        <v>-2.0350000000000004E-3</v>
      </c>
      <c r="O4" s="19">
        <f t="shared" si="2"/>
        <v>-7.2499999999999995E-4</v>
      </c>
      <c r="P4" s="19">
        <f t="shared" si="2"/>
        <v>-3.7500000000000001E-4</v>
      </c>
      <c r="Q4" s="19">
        <f t="shared" si="2"/>
        <v>-1.9800000000000002E-4</v>
      </c>
      <c r="R4" s="19">
        <f t="shared" ref="R4:R22" si="3">SUM(J4:Q4)</f>
        <v>-8.8249000000000008E-2</v>
      </c>
      <c r="S4" s="19">
        <f t="shared" ref="S4:S12" si="4">ABS(R4)+1</f>
        <v>1.088249</v>
      </c>
      <c r="T4" s="19">
        <f t="shared" si="1"/>
        <v>1</v>
      </c>
      <c r="U4" s="16"/>
    </row>
    <row r="5" spans="1:21" x14ac:dyDescent="0.25">
      <c r="A5" s="6">
        <v>0.45300000000000001</v>
      </c>
      <c r="B5" s="6">
        <v>0.184</v>
      </c>
      <c r="C5" s="6">
        <v>0.128</v>
      </c>
      <c r="D5" s="6">
        <v>0.10100000000000001</v>
      </c>
      <c r="E5" s="6">
        <v>2.9000000000000001E-2</v>
      </c>
      <c r="F5" s="6">
        <v>2.1999999999999999E-2</v>
      </c>
      <c r="G5" s="6">
        <v>1.4999999999999999E-2</v>
      </c>
      <c r="H5" s="6">
        <v>1.0999999999999999E-2</v>
      </c>
      <c r="I5" s="6">
        <v>0</v>
      </c>
      <c r="J5" s="19">
        <f>A31*A5</f>
        <v>-3.8958000000000013E-2</v>
      </c>
      <c r="K5" s="19">
        <f t="shared" ref="K5:Q5" si="5">B31*B5</f>
        <v>-3.7168E-2</v>
      </c>
      <c r="L5" s="19">
        <f t="shared" si="5"/>
        <v>-9.3440000000000016E-3</v>
      </c>
      <c r="M5" s="19">
        <f t="shared" si="5"/>
        <v>-7.5750000000000001E-3</v>
      </c>
      <c r="N5" s="19">
        <f t="shared" si="5"/>
        <v>-1.0730000000000002E-3</v>
      </c>
      <c r="O5" s="19">
        <f t="shared" si="5"/>
        <v>-6.379999999999999E-4</v>
      </c>
      <c r="P5" s="19">
        <f t="shared" si="5"/>
        <v>-3.7500000000000001E-4</v>
      </c>
      <c r="Q5" s="19">
        <f t="shared" si="5"/>
        <v>-1.9800000000000002E-4</v>
      </c>
      <c r="R5" s="19">
        <f t="shared" si="3"/>
        <v>-9.5329000000000025E-2</v>
      </c>
      <c r="S5" s="19">
        <f t="shared" si="4"/>
        <v>1.095329</v>
      </c>
      <c r="T5" s="19">
        <f t="shared" si="1"/>
        <v>1</v>
      </c>
      <c r="U5" s="16"/>
    </row>
    <row r="6" spans="1:21" x14ac:dyDescent="0.25">
      <c r="A6" s="6">
        <v>0.436</v>
      </c>
      <c r="B6" s="6">
        <v>0.17699999999999999</v>
      </c>
      <c r="C6" s="6">
        <v>0.106</v>
      </c>
      <c r="D6" s="6">
        <v>5.2999999999999999E-2</v>
      </c>
      <c r="E6" s="6">
        <v>4.3999999999999997E-2</v>
      </c>
      <c r="F6" s="6">
        <v>3.4000000000000002E-2</v>
      </c>
      <c r="G6" s="6">
        <v>2.1999999999999999E-2</v>
      </c>
      <c r="H6" s="6">
        <v>1.7999999999999999E-2</v>
      </c>
      <c r="I6" s="6">
        <v>0</v>
      </c>
      <c r="J6" s="19">
        <f>A31*A6</f>
        <v>-3.7496000000000008E-2</v>
      </c>
      <c r="K6" s="19">
        <f t="shared" ref="K6:Q6" si="6">B31*B6</f>
        <v>-3.5754000000000001E-2</v>
      </c>
      <c r="L6" s="19">
        <f t="shared" si="6"/>
        <v>-7.738000000000001E-3</v>
      </c>
      <c r="M6" s="19">
        <f t="shared" si="6"/>
        <v>-3.9749999999999994E-3</v>
      </c>
      <c r="N6" s="19">
        <f t="shared" si="6"/>
        <v>-1.6280000000000001E-3</v>
      </c>
      <c r="O6" s="19">
        <f t="shared" si="6"/>
        <v>-9.859999999999999E-4</v>
      </c>
      <c r="P6" s="19">
        <f t="shared" si="6"/>
        <v>-5.5000000000000003E-4</v>
      </c>
      <c r="Q6" s="19">
        <f t="shared" si="6"/>
        <v>-3.2400000000000001E-4</v>
      </c>
      <c r="R6" s="19">
        <f t="shared" si="3"/>
        <v>-8.8451000000000016E-2</v>
      </c>
      <c r="S6" s="19">
        <f t="shared" si="4"/>
        <v>1.0884510000000001</v>
      </c>
      <c r="T6" s="19">
        <f t="shared" si="1"/>
        <v>1</v>
      </c>
      <c r="U6" s="16"/>
    </row>
    <row r="7" spans="1:21" x14ac:dyDescent="0.25">
      <c r="A7" s="6">
        <v>0.57499999999999996</v>
      </c>
      <c r="B7" s="6">
        <v>0.128</v>
      </c>
      <c r="C7" s="6">
        <v>0.11</v>
      </c>
      <c r="D7" s="6">
        <v>5.7000000000000002E-2</v>
      </c>
      <c r="E7" s="6">
        <v>5.2999999999999999E-2</v>
      </c>
      <c r="F7" s="6">
        <v>1.6E-2</v>
      </c>
      <c r="G7" s="6">
        <v>1.4999999999999999E-2</v>
      </c>
      <c r="H7" s="6">
        <v>7.0000000000000001E-3</v>
      </c>
      <c r="I7" s="6">
        <v>0</v>
      </c>
      <c r="J7" s="19">
        <f>A31*A7</f>
        <v>-4.9450000000000008E-2</v>
      </c>
      <c r="K7" s="19">
        <f t="shared" ref="K7:Q7" si="7">B31*B7</f>
        <v>-2.5856000000000001E-2</v>
      </c>
      <c r="L7" s="19">
        <f t="shared" si="7"/>
        <v>-8.0300000000000007E-3</v>
      </c>
      <c r="M7" s="19">
        <f t="shared" si="7"/>
        <v>-4.2750000000000002E-3</v>
      </c>
      <c r="N7" s="19">
        <f t="shared" si="7"/>
        <v>-1.9610000000000001E-3</v>
      </c>
      <c r="O7" s="19">
        <f t="shared" si="7"/>
        <v>-4.64E-4</v>
      </c>
      <c r="P7" s="19">
        <f t="shared" si="7"/>
        <v>-3.7500000000000001E-4</v>
      </c>
      <c r="Q7" s="19">
        <f t="shared" si="7"/>
        <v>-1.2600000000000003E-4</v>
      </c>
      <c r="R7" s="19">
        <f t="shared" si="3"/>
        <v>-9.053700000000002E-2</v>
      </c>
      <c r="S7" s="19">
        <f t="shared" si="4"/>
        <v>1.0905370000000001</v>
      </c>
      <c r="T7" s="19">
        <f t="shared" si="1"/>
        <v>1</v>
      </c>
      <c r="U7" s="16"/>
    </row>
    <row r="8" spans="1:21" x14ac:dyDescent="0.25">
      <c r="A8" s="6">
        <v>0.48099999999999998</v>
      </c>
      <c r="B8" s="6">
        <v>0.19</v>
      </c>
      <c r="C8" s="6">
        <v>7.6999999999999999E-2</v>
      </c>
      <c r="D8" s="6">
        <v>6.7000000000000004E-2</v>
      </c>
      <c r="E8" s="6">
        <v>5.8999999999999997E-2</v>
      </c>
      <c r="F8" s="6">
        <v>3.3000000000000002E-2</v>
      </c>
      <c r="G8" s="6">
        <v>1.6E-2</v>
      </c>
      <c r="H8" s="6">
        <v>1.2999999999999999E-2</v>
      </c>
      <c r="I8" s="6">
        <v>0</v>
      </c>
      <c r="J8" s="19">
        <f>A31*A8</f>
        <v>-4.1366000000000007E-2</v>
      </c>
      <c r="K8" s="19">
        <f t="shared" ref="K8:Q8" si="8">B31*B8</f>
        <v>-3.8380000000000004E-2</v>
      </c>
      <c r="L8" s="19">
        <f t="shared" si="8"/>
        <v>-5.621000000000001E-3</v>
      </c>
      <c r="M8" s="19">
        <f t="shared" si="8"/>
        <v>-5.025E-3</v>
      </c>
      <c r="N8" s="19">
        <f t="shared" si="8"/>
        <v>-2.183E-3</v>
      </c>
      <c r="O8" s="19">
        <f t="shared" si="8"/>
        <v>-9.5699999999999995E-4</v>
      </c>
      <c r="P8" s="19">
        <f t="shared" si="8"/>
        <v>-4.0000000000000002E-4</v>
      </c>
      <c r="Q8" s="19">
        <f t="shared" si="8"/>
        <v>-2.3400000000000002E-4</v>
      </c>
      <c r="R8" s="19">
        <f t="shared" si="3"/>
        <v>-9.4166000000000014E-2</v>
      </c>
      <c r="S8" s="19">
        <f t="shared" si="4"/>
        <v>1.094166</v>
      </c>
      <c r="T8" s="19">
        <f t="shared" si="1"/>
        <v>1</v>
      </c>
      <c r="U8" s="16"/>
    </row>
    <row r="9" spans="1:21" x14ac:dyDescent="0.25">
      <c r="A9" s="6">
        <v>0.499</v>
      </c>
      <c r="B9" s="6">
        <v>0.15</v>
      </c>
      <c r="C9" s="6">
        <v>0.114</v>
      </c>
      <c r="D9" s="6">
        <v>4.7E-2</v>
      </c>
      <c r="E9" s="6">
        <v>3.7999999999999999E-2</v>
      </c>
      <c r="F9" s="6">
        <v>2.4E-2</v>
      </c>
      <c r="G9" s="6">
        <v>0.02</v>
      </c>
      <c r="H9" s="6">
        <v>1.4E-2</v>
      </c>
      <c r="I9" s="6">
        <v>0</v>
      </c>
      <c r="J9" s="19">
        <f>A31*A9</f>
        <v>-4.2914000000000008E-2</v>
      </c>
      <c r="K9" s="19">
        <f t="shared" ref="K9:Q9" si="9">B31*B9</f>
        <v>-3.0300000000000001E-2</v>
      </c>
      <c r="L9" s="19">
        <f t="shared" si="9"/>
        <v>-8.3220000000000013E-3</v>
      </c>
      <c r="M9" s="19">
        <f t="shared" si="9"/>
        <v>-3.5249999999999999E-3</v>
      </c>
      <c r="N9" s="19">
        <f t="shared" si="9"/>
        <v>-1.4060000000000001E-3</v>
      </c>
      <c r="O9" s="19">
        <f t="shared" si="9"/>
        <v>-6.96E-4</v>
      </c>
      <c r="P9" s="19">
        <f t="shared" si="9"/>
        <v>-5.0000000000000001E-4</v>
      </c>
      <c r="Q9" s="19">
        <f t="shared" si="9"/>
        <v>-2.5200000000000005E-4</v>
      </c>
      <c r="R9" s="19">
        <f t="shared" si="3"/>
        <v>-8.7915000000000007E-2</v>
      </c>
      <c r="S9" s="19">
        <f t="shared" si="4"/>
        <v>1.087915</v>
      </c>
      <c r="T9" s="19">
        <f t="shared" si="1"/>
        <v>1</v>
      </c>
      <c r="U9" s="16"/>
    </row>
    <row r="10" spans="1:21" x14ac:dyDescent="0.25">
      <c r="A10" s="6">
        <v>0.60499999999999998</v>
      </c>
      <c r="B10" s="6">
        <v>0.2</v>
      </c>
      <c r="C10" s="6">
        <v>6.0999999999999999E-2</v>
      </c>
      <c r="D10" s="6">
        <v>3.4000000000000002E-2</v>
      </c>
      <c r="E10" s="6">
        <v>2.1000000000000001E-2</v>
      </c>
      <c r="F10" s="6">
        <v>1.7000000000000001E-2</v>
      </c>
      <c r="G10" s="6">
        <v>8.9999999999999993E-3</v>
      </c>
      <c r="H10" s="6">
        <v>6.0000000000000001E-3</v>
      </c>
      <c r="I10" s="6">
        <v>0</v>
      </c>
      <c r="J10" s="19">
        <f>A31*A10</f>
        <v>-5.2030000000000014E-2</v>
      </c>
      <c r="K10" s="19">
        <f t="shared" ref="K10:Q10" si="10">B31*B10</f>
        <v>-4.0400000000000005E-2</v>
      </c>
      <c r="L10" s="19">
        <f t="shared" si="10"/>
        <v>-4.4530000000000004E-3</v>
      </c>
      <c r="M10" s="19">
        <f t="shared" si="10"/>
        <v>-2.5500000000000002E-3</v>
      </c>
      <c r="N10" s="19">
        <f t="shared" si="10"/>
        <v>-7.7700000000000013E-4</v>
      </c>
      <c r="O10" s="19">
        <f t="shared" si="10"/>
        <v>-4.9299999999999995E-4</v>
      </c>
      <c r="P10" s="19">
        <f t="shared" si="10"/>
        <v>-2.2499999999999999E-4</v>
      </c>
      <c r="Q10" s="19">
        <f t="shared" si="10"/>
        <v>-1.0800000000000001E-4</v>
      </c>
      <c r="R10" s="19">
        <f t="shared" si="3"/>
        <v>-0.101036</v>
      </c>
      <c r="S10" s="19">
        <f t="shared" si="4"/>
        <v>1.1010359999999999</v>
      </c>
      <c r="T10" s="19">
        <f t="shared" si="1"/>
        <v>0.99999999999999989</v>
      </c>
      <c r="U10" s="16"/>
    </row>
    <row r="11" spans="1:21" x14ac:dyDescent="0.25">
      <c r="A11" s="6">
        <v>0.47599999999999998</v>
      </c>
      <c r="B11" s="6">
        <v>0.21199999999999999</v>
      </c>
      <c r="C11" s="6">
        <v>6.7000000000000004E-2</v>
      </c>
      <c r="D11" s="6">
        <v>6.5000000000000002E-2</v>
      </c>
      <c r="E11" s="6">
        <v>3.9E-2</v>
      </c>
      <c r="F11" s="6">
        <v>2.9000000000000001E-2</v>
      </c>
      <c r="G11" s="6">
        <v>2.3E-2</v>
      </c>
      <c r="H11" s="6">
        <v>1.6E-2</v>
      </c>
      <c r="I11" s="6">
        <v>0</v>
      </c>
      <c r="J11" s="19">
        <f>A31*A11</f>
        <v>-4.0936000000000007E-2</v>
      </c>
      <c r="K11" s="19">
        <f t="shared" ref="K11:Q11" si="11">B31*B11</f>
        <v>-4.2824000000000001E-2</v>
      </c>
      <c r="L11" s="19">
        <f t="shared" si="11"/>
        <v>-4.8910000000000012E-3</v>
      </c>
      <c r="M11" s="19">
        <f t="shared" si="11"/>
        <v>-4.875E-3</v>
      </c>
      <c r="N11" s="19">
        <f t="shared" si="11"/>
        <v>-1.4430000000000003E-3</v>
      </c>
      <c r="O11" s="19">
        <f t="shared" si="11"/>
        <v>-8.4099999999999995E-4</v>
      </c>
      <c r="P11" s="19">
        <f t="shared" si="11"/>
        <v>-5.7499999999999999E-4</v>
      </c>
      <c r="Q11" s="19">
        <f t="shared" si="11"/>
        <v>-2.8800000000000006E-4</v>
      </c>
      <c r="R11" s="19">
        <f t="shared" si="3"/>
        <v>-9.6673000000000009E-2</v>
      </c>
      <c r="S11" s="19">
        <f t="shared" si="4"/>
        <v>1.096673</v>
      </c>
      <c r="T11" s="19">
        <f t="shared" si="1"/>
        <v>1</v>
      </c>
      <c r="U11" s="16"/>
    </row>
    <row r="12" spans="1:21" x14ac:dyDescent="0.25">
      <c r="A12" s="6">
        <v>0.41899999999999998</v>
      </c>
      <c r="B12" s="6">
        <v>0.24</v>
      </c>
      <c r="C12" s="6">
        <v>6.8000000000000005E-2</v>
      </c>
      <c r="D12" s="6">
        <v>6.2E-2</v>
      </c>
      <c r="E12" s="6">
        <v>3.3000000000000002E-2</v>
      </c>
      <c r="F12" s="6">
        <v>3.1E-2</v>
      </c>
      <c r="G12" s="6">
        <v>2.7E-2</v>
      </c>
      <c r="H12" s="6">
        <v>1.7999999999999999E-2</v>
      </c>
      <c r="I12" s="6">
        <v>0</v>
      </c>
      <c r="J12" s="19">
        <f>A31*A12</f>
        <v>-3.603400000000001E-2</v>
      </c>
      <c r="K12" s="19">
        <f t="shared" ref="K12:Q12" si="12">B31*B12</f>
        <v>-4.8480000000000002E-2</v>
      </c>
      <c r="L12" s="19">
        <f t="shared" si="12"/>
        <v>-4.9640000000000014E-3</v>
      </c>
      <c r="M12" s="19">
        <f t="shared" si="12"/>
        <v>-4.6499999999999996E-3</v>
      </c>
      <c r="N12" s="19">
        <f t="shared" si="12"/>
        <v>-1.2210000000000003E-3</v>
      </c>
      <c r="O12" s="19">
        <f t="shared" si="12"/>
        <v>-8.9899999999999995E-4</v>
      </c>
      <c r="P12" s="19">
        <f t="shared" si="12"/>
        <v>-6.7500000000000004E-4</v>
      </c>
      <c r="Q12" s="19">
        <f t="shared" si="12"/>
        <v>-3.2400000000000001E-4</v>
      </c>
      <c r="R12" s="19">
        <f t="shared" si="3"/>
        <v>-9.7247E-2</v>
      </c>
      <c r="S12" s="19">
        <f t="shared" si="4"/>
        <v>1.0972470000000001</v>
      </c>
      <c r="T12" s="19">
        <f t="shared" si="1"/>
        <v>1</v>
      </c>
      <c r="U12" s="16"/>
    </row>
    <row r="13" spans="1:21" x14ac:dyDescent="0.25">
      <c r="A13" s="7">
        <v>0.45700000000000002</v>
      </c>
      <c r="B13" s="7">
        <v>0.17199999999999999</v>
      </c>
      <c r="C13" s="7">
        <v>0.11899999999999999</v>
      </c>
      <c r="D13" s="7">
        <v>0.105</v>
      </c>
      <c r="E13" s="7">
        <v>3.1E-2</v>
      </c>
      <c r="F13" s="7">
        <v>2.8000000000000001E-2</v>
      </c>
      <c r="G13" s="7">
        <v>1.2999999999999999E-2</v>
      </c>
      <c r="H13" s="7">
        <v>0.01</v>
      </c>
      <c r="I13" s="7">
        <v>1</v>
      </c>
      <c r="J13" s="20">
        <f>A31*A13</f>
        <v>-3.9302000000000011E-2</v>
      </c>
      <c r="K13" s="20">
        <f t="shared" ref="K13:Q13" si="13">B31*B13</f>
        <v>-3.4743999999999997E-2</v>
      </c>
      <c r="L13" s="20">
        <f t="shared" si="13"/>
        <v>-8.6870000000000003E-3</v>
      </c>
      <c r="M13" s="20">
        <f t="shared" si="13"/>
        <v>-7.8750000000000001E-3</v>
      </c>
      <c r="N13" s="20">
        <f t="shared" si="13"/>
        <v>-1.1470000000000002E-3</v>
      </c>
      <c r="O13" s="20">
        <f t="shared" si="13"/>
        <v>-8.12E-4</v>
      </c>
      <c r="P13" s="20">
        <f t="shared" si="13"/>
        <v>-3.2499999999999999E-4</v>
      </c>
      <c r="Q13" s="20">
        <f t="shared" si="13"/>
        <v>-1.8000000000000001E-4</v>
      </c>
      <c r="R13" s="20">
        <f t="shared" si="3"/>
        <v>-9.3071999999999988E-2</v>
      </c>
      <c r="S13" s="20">
        <f>ABS(R13)-1</f>
        <v>-0.90692799999999996</v>
      </c>
      <c r="T13" s="20">
        <f t="shared" si="1"/>
        <v>-1</v>
      </c>
      <c r="U13" s="16"/>
    </row>
    <row r="14" spans="1:21" x14ac:dyDescent="0.25">
      <c r="A14" s="7">
        <v>0.40100000000000002</v>
      </c>
      <c r="B14" s="7">
        <v>0.251</v>
      </c>
      <c r="C14" s="7">
        <v>0.13300000000000001</v>
      </c>
      <c r="D14" s="7">
        <v>4.2000000000000003E-2</v>
      </c>
      <c r="E14" s="7">
        <v>3.1E-2</v>
      </c>
      <c r="F14" s="7">
        <v>2.8000000000000001E-2</v>
      </c>
      <c r="G14" s="7">
        <v>2.4E-2</v>
      </c>
      <c r="H14" s="7">
        <v>1.4E-2</v>
      </c>
      <c r="I14" s="7">
        <v>1</v>
      </c>
      <c r="J14" s="20">
        <f>A31*A14</f>
        <v>-3.448600000000001E-2</v>
      </c>
      <c r="K14" s="20">
        <f t="shared" ref="K14:Q14" si="14">B31*B14</f>
        <v>-5.0702000000000004E-2</v>
      </c>
      <c r="L14" s="20">
        <f t="shared" si="14"/>
        <v>-9.7090000000000024E-3</v>
      </c>
      <c r="M14" s="20">
        <f t="shared" si="14"/>
        <v>-3.15E-3</v>
      </c>
      <c r="N14" s="20">
        <f t="shared" si="14"/>
        <v>-1.1470000000000002E-3</v>
      </c>
      <c r="O14" s="20">
        <f t="shared" si="14"/>
        <v>-8.12E-4</v>
      </c>
      <c r="P14" s="20">
        <f t="shared" si="14"/>
        <v>-6.0000000000000006E-4</v>
      </c>
      <c r="Q14" s="20">
        <f t="shared" si="14"/>
        <v>-2.5200000000000005E-4</v>
      </c>
      <c r="R14" s="20">
        <f t="shared" si="3"/>
        <v>-0.100858</v>
      </c>
      <c r="S14" s="20">
        <f t="shared" ref="S14:S22" si="15">ABS(R14)-1</f>
        <v>-0.899142</v>
      </c>
      <c r="T14" s="20">
        <f t="shared" si="1"/>
        <v>-1</v>
      </c>
      <c r="U14" s="16"/>
    </row>
    <row r="15" spans="1:21" x14ac:dyDescent="0.25">
      <c r="A15" s="7">
        <v>0.38300000000000001</v>
      </c>
      <c r="B15" s="7">
        <v>0.30299999999999999</v>
      </c>
      <c r="C15" s="7">
        <v>0.13400000000000001</v>
      </c>
      <c r="D15" s="7">
        <v>4.2999999999999997E-2</v>
      </c>
      <c r="E15" s="7">
        <v>2.3E-2</v>
      </c>
      <c r="F15" s="7">
        <v>2.1000000000000001E-2</v>
      </c>
      <c r="G15" s="7">
        <v>1.7999999999999999E-2</v>
      </c>
      <c r="H15" s="7">
        <v>1.4999999999999999E-2</v>
      </c>
      <c r="I15" s="7">
        <v>1</v>
      </c>
      <c r="J15" s="20">
        <f>A31*A15</f>
        <v>-3.2938000000000009E-2</v>
      </c>
      <c r="K15" s="20">
        <f t="shared" ref="K15:Q15" si="16">B31*B15</f>
        <v>-6.1206000000000003E-2</v>
      </c>
      <c r="L15" s="20">
        <f t="shared" si="16"/>
        <v>-9.7820000000000025E-3</v>
      </c>
      <c r="M15" s="20">
        <f t="shared" si="16"/>
        <v>-3.2249999999999996E-3</v>
      </c>
      <c r="N15" s="20">
        <f t="shared" si="16"/>
        <v>-8.5100000000000009E-4</v>
      </c>
      <c r="O15" s="20">
        <f t="shared" si="16"/>
        <v>-6.0899999999999995E-4</v>
      </c>
      <c r="P15" s="20">
        <f t="shared" si="16"/>
        <v>-4.4999999999999999E-4</v>
      </c>
      <c r="Q15" s="20">
        <f t="shared" si="16"/>
        <v>-2.7E-4</v>
      </c>
      <c r="R15" s="20">
        <f t="shared" si="3"/>
        <v>-0.10933100000000003</v>
      </c>
      <c r="S15" s="20">
        <f t="shared" si="15"/>
        <v>-0.89066899999999993</v>
      </c>
      <c r="T15" s="20">
        <f t="shared" si="1"/>
        <v>-1</v>
      </c>
      <c r="U15" s="16"/>
    </row>
    <row r="16" spans="1:21" x14ac:dyDescent="0.25">
      <c r="A16" s="7">
        <v>0.33200000000000002</v>
      </c>
      <c r="B16" s="7">
        <v>0.157</v>
      </c>
      <c r="C16" s="7">
        <v>0.114</v>
      </c>
      <c r="D16" s="7">
        <v>9.2999999999999999E-2</v>
      </c>
      <c r="E16" s="7">
        <v>5.8000000000000003E-2</v>
      </c>
      <c r="F16" s="7">
        <v>4.4999999999999998E-2</v>
      </c>
      <c r="G16" s="7">
        <v>3.4000000000000002E-2</v>
      </c>
      <c r="H16" s="7">
        <v>2.4E-2</v>
      </c>
      <c r="I16" s="7">
        <v>1</v>
      </c>
      <c r="J16" s="20">
        <f>A31*A16</f>
        <v>-2.8552000000000008E-2</v>
      </c>
      <c r="K16" s="20">
        <f t="shared" ref="K16:Q16" si="17">B31*B16</f>
        <v>-3.1713999999999999E-2</v>
      </c>
      <c r="L16" s="20">
        <f t="shared" si="17"/>
        <v>-8.3220000000000013E-3</v>
      </c>
      <c r="M16" s="20">
        <f t="shared" si="17"/>
        <v>-6.9749999999999994E-3</v>
      </c>
      <c r="N16" s="20">
        <f t="shared" si="17"/>
        <v>-2.1460000000000003E-3</v>
      </c>
      <c r="O16" s="20">
        <f t="shared" si="17"/>
        <v>-1.305E-3</v>
      </c>
      <c r="P16" s="20">
        <f t="shared" si="17"/>
        <v>-8.5000000000000006E-4</v>
      </c>
      <c r="Q16" s="20">
        <f t="shared" si="17"/>
        <v>-4.3200000000000004E-4</v>
      </c>
      <c r="R16" s="20">
        <f t="shared" si="3"/>
        <v>-8.0296000000000006E-2</v>
      </c>
      <c r="S16" s="20">
        <f t="shared" si="15"/>
        <v>-0.91970399999999997</v>
      </c>
      <c r="T16" s="20">
        <f t="shared" si="1"/>
        <v>-1</v>
      </c>
      <c r="U16" s="16"/>
    </row>
    <row r="17" spans="1:21" x14ac:dyDescent="0.25">
      <c r="A17" s="7">
        <v>0.38800000000000001</v>
      </c>
      <c r="B17" s="7">
        <v>0.22500000000000001</v>
      </c>
      <c r="C17" s="7">
        <v>0.127</v>
      </c>
      <c r="D17" s="7">
        <v>6.3E-2</v>
      </c>
      <c r="E17" s="7">
        <v>0.05</v>
      </c>
      <c r="F17" s="7">
        <v>3.1E-2</v>
      </c>
      <c r="G17" s="7">
        <v>2.1000000000000001E-2</v>
      </c>
      <c r="H17" s="7">
        <v>1.6E-2</v>
      </c>
      <c r="I17" s="7">
        <v>1</v>
      </c>
      <c r="J17" s="20">
        <f>A31*A17</f>
        <v>-3.3368000000000009E-2</v>
      </c>
      <c r="K17" s="20">
        <f t="shared" ref="K17:Q17" si="18">B31*B17</f>
        <v>-4.5450000000000004E-2</v>
      </c>
      <c r="L17" s="20">
        <f t="shared" si="18"/>
        <v>-9.2710000000000015E-3</v>
      </c>
      <c r="M17" s="20">
        <f t="shared" si="18"/>
        <v>-4.725E-3</v>
      </c>
      <c r="N17" s="20">
        <f t="shared" si="18"/>
        <v>-1.8500000000000003E-3</v>
      </c>
      <c r="O17" s="20">
        <f t="shared" si="18"/>
        <v>-8.9899999999999995E-4</v>
      </c>
      <c r="P17" s="20">
        <f t="shared" si="18"/>
        <v>-5.2500000000000008E-4</v>
      </c>
      <c r="Q17" s="20">
        <f t="shared" si="18"/>
        <v>-2.8800000000000006E-4</v>
      </c>
      <c r="R17" s="20">
        <f t="shared" si="3"/>
        <v>-9.6376000000000003E-2</v>
      </c>
      <c r="S17" s="20">
        <f t="shared" si="15"/>
        <v>-0.90362399999999998</v>
      </c>
      <c r="T17" s="20">
        <f t="shared" si="1"/>
        <v>-1</v>
      </c>
      <c r="U17" s="16"/>
    </row>
    <row r="18" spans="1:21" x14ac:dyDescent="0.25">
      <c r="A18" s="7">
        <v>0.32600000000000001</v>
      </c>
      <c r="B18" s="7">
        <v>0.158</v>
      </c>
      <c r="C18" s="7">
        <v>0.128</v>
      </c>
      <c r="D18" s="7">
        <v>0.109</v>
      </c>
      <c r="E18" s="7">
        <v>5.3999999999999999E-2</v>
      </c>
      <c r="F18" s="7">
        <v>4.4999999999999998E-2</v>
      </c>
      <c r="G18" s="7">
        <v>3.2000000000000001E-2</v>
      </c>
      <c r="H18" s="7">
        <v>2.4E-2</v>
      </c>
      <c r="I18" s="7">
        <v>1</v>
      </c>
      <c r="J18" s="20">
        <f>A31*A18</f>
        <v>-2.8036000000000009E-2</v>
      </c>
      <c r="K18" s="20">
        <f t="shared" ref="K18:Q18" si="19">B31*B18</f>
        <v>-3.1916E-2</v>
      </c>
      <c r="L18" s="20">
        <f t="shared" si="19"/>
        <v>-9.3440000000000016E-3</v>
      </c>
      <c r="M18" s="20">
        <f t="shared" si="19"/>
        <v>-8.175E-3</v>
      </c>
      <c r="N18" s="20">
        <f t="shared" si="19"/>
        <v>-1.9980000000000002E-3</v>
      </c>
      <c r="O18" s="20">
        <f t="shared" si="19"/>
        <v>-1.305E-3</v>
      </c>
      <c r="P18" s="20">
        <f t="shared" si="19"/>
        <v>-8.0000000000000004E-4</v>
      </c>
      <c r="Q18" s="20">
        <f t="shared" si="19"/>
        <v>-4.3200000000000004E-4</v>
      </c>
      <c r="R18" s="20">
        <f t="shared" si="3"/>
        <v>-8.2006000000000009E-2</v>
      </c>
      <c r="S18" s="20">
        <f t="shared" si="15"/>
        <v>-0.91799399999999998</v>
      </c>
      <c r="T18" s="20">
        <f t="shared" si="1"/>
        <v>-1</v>
      </c>
      <c r="U18" s="16"/>
    </row>
    <row r="19" spans="1:21" x14ac:dyDescent="0.25">
      <c r="A19" s="7">
        <v>0.34499999999999997</v>
      </c>
      <c r="B19" s="7">
        <v>0.33</v>
      </c>
      <c r="C19" s="7">
        <v>0.13</v>
      </c>
      <c r="D19" s="7">
        <v>6.3E-2</v>
      </c>
      <c r="E19" s="7">
        <v>3.9E-2</v>
      </c>
      <c r="F19" s="7">
        <v>1.7999999999999999E-2</v>
      </c>
      <c r="G19" s="7">
        <v>1.4E-2</v>
      </c>
      <c r="H19" s="7">
        <v>0.01</v>
      </c>
      <c r="I19" s="7">
        <v>1</v>
      </c>
      <c r="J19" s="20">
        <f>A31*A19</f>
        <v>-2.9670000000000005E-2</v>
      </c>
      <c r="K19" s="20">
        <f t="shared" ref="K19:Q19" si="20">B31*B19</f>
        <v>-6.6660000000000011E-2</v>
      </c>
      <c r="L19" s="20">
        <f t="shared" si="20"/>
        <v>-9.4900000000000019E-3</v>
      </c>
      <c r="M19" s="20">
        <f t="shared" si="20"/>
        <v>-4.725E-3</v>
      </c>
      <c r="N19" s="20">
        <f t="shared" si="20"/>
        <v>-1.4430000000000003E-3</v>
      </c>
      <c r="O19" s="20">
        <f t="shared" si="20"/>
        <v>-5.2199999999999989E-4</v>
      </c>
      <c r="P19" s="20">
        <f t="shared" si="20"/>
        <v>-3.5000000000000005E-4</v>
      </c>
      <c r="Q19" s="20">
        <f t="shared" si="20"/>
        <v>-1.8000000000000001E-4</v>
      </c>
      <c r="R19" s="20">
        <f t="shared" si="3"/>
        <v>-0.11304</v>
      </c>
      <c r="S19" s="20">
        <f t="shared" si="15"/>
        <v>-0.88695999999999997</v>
      </c>
      <c r="T19" s="20">
        <f t="shared" si="1"/>
        <v>-1</v>
      </c>
      <c r="U19" s="16"/>
    </row>
    <row r="20" spans="1:21" x14ac:dyDescent="0.25">
      <c r="A20" s="7">
        <v>0.505</v>
      </c>
      <c r="B20" s="7">
        <v>0.22</v>
      </c>
      <c r="C20" s="7">
        <v>7.3999999999999996E-2</v>
      </c>
      <c r="D20" s="7">
        <v>5.6000000000000001E-2</v>
      </c>
      <c r="E20" s="7">
        <v>3.5000000000000003E-2</v>
      </c>
      <c r="F20" s="7">
        <v>2.1000000000000001E-2</v>
      </c>
      <c r="G20" s="7">
        <v>1.2E-2</v>
      </c>
      <c r="H20" s="7">
        <v>1.2E-2</v>
      </c>
      <c r="I20" s="7">
        <v>1</v>
      </c>
      <c r="J20" s="20">
        <f>A31*A20</f>
        <v>-4.343000000000001E-2</v>
      </c>
      <c r="K20" s="20">
        <f t="shared" ref="K20:Q20" si="21">B31*B20</f>
        <v>-4.444E-2</v>
      </c>
      <c r="L20" s="20">
        <f t="shared" si="21"/>
        <v>-5.4020000000000006E-3</v>
      </c>
      <c r="M20" s="20">
        <f t="shared" si="21"/>
        <v>-4.1999999999999997E-3</v>
      </c>
      <c r="N20" s="20">
        <f t="shared" si="21"/>
        <v>-1.2950000000000004E-3</v>
      </c>
      <c r="O20" s="20">
        <f t="shared" si="21"/>
        <v>-6.0899999999999995E-4</v>
      </c>
      <c r="P20" s="20">
        <f t="shared" si="21"/>
        <v>-3.0000000000000003E-4</v>
      </c>
      <c r="Q20" s="20">
        <f t="shared" si="21"/>
        <v>-2.1600000000000002E-4</v>
      </c>
      <c r="R20" s="20">
        <f t="shared" si="3"/>
        <v>-9.9891999999999995E-2</v>
      </c>
      <c r="S20" s="20">
        <f t="shared" si="15"/>
        <v>-0.90010800000000002</v>
      </c>
      <c r="T20" s="20">
        <f t="shared" si="1"/>
        <v>-1</v>
      </c>
      <c r="U20" s="16"/>
    </row>
    <row r="21" spans="1:21" x14ac:dyDescent="0.25">
      <c r="A21" s="7">
        <v>0.46800000000000003</v>
      </c>
      <c r="B21" s="7">
        <v>0.14199999999999999</v>
      </c>
      <c r="C21" s="7">
        <v>0.121</v>
      </c>
      <c r="D21" s="7">
        <v>7.1999999999999995E-2</v>
      </c>
      <c r="E21" s="7">
        <v>3.6999999999999998E-2</v>
      </c>
      <c r="F21" s="7">
        <v>0.03</v>
      </c>
      <c r="G21" s="7">
        <v>1.7999999999999999E-2</v>
      </c>
      <c r="H21" s="7">
        <v>1.6E-2</v>
      </c>
      <c r="I21" s="7">
        <v>1</v>
      </c>
      <c r="J21" s="20">
        <f>A31*A21</f>
        <v>-4.0248000000000013E-2</v>
      </c>
      <c r="K21" s="20">
        <f t="shared" ref="K21:Q21" si="22">B31*B21</f>
        <v>-2.8683999999999998E-2</v>
      </c>
      <c r="L21" s="20">
        <f t="shared" si="22"/>
        <v>-8.8330000000000006E-3</v>
      </c>
      <c r="M21" s="20">
        <f t="shared" si="22"/>
        <v>-5.3999999999999994E-3</v>
      </c>
      <c r="N21" s="20">
        <f t="shared" si="22"/>
        <v>-1.3690000000000002E-3</v>
      </c>
      <c r="O21" s="20">
        <f t="shared" si="22"/>
        <v>-8.699999999999999E-4</v>
      </c>
      <c r="P21" s="20">
        <f t="shared" si="22"/>
        <v>-4.4999999999999999E-4</v>
      </c>
      <c r="Q21" s="20">
        <f t="shared" si="22"/>
        <v>-2.8800000000000006E-4</v>
      </c>
      <c r="R21" s="20">
        <f t="shared" si="3"/>
        <v>-8.6141999999999996E-2</v>
      </c>
      <c r="S21" s="20">
        <f t="shared" si="15"/>
        <v>-0.91385800000000006</v>
      </c>
      <c r="T21" s="20">
        <f t="shared" si="1"/>
        <v>-1</v>
      </c>
      <c r="U21" s="16"/>
    </row>
    <row r="22" spans="1:21" x14ac:dyDescent="0.25">
      <c r="A22" s="7">
        <v>0.505</v>
      </c>
      <c r="B22" s="7">
        <v>0.19500000000000001</v>
      </c>
      <c r="C22" s="7">
        <v>0.107</v>
      </c>
      <c r="D22" s="7">
        <v>8.1000000000000003E-2</v>
      </c>
      <c r="E22" s="7">
        <v>4.2000000000000003E-2</v>
      </c>
      <c r="F22" s="7">
        <v>2.1999999999999999E-2</v>
      </c>
      <c r="G22" s="7">
        <v>1.4E-2</v>
      </c>
      <c r="H22" s="7">
        <v>8.0000000000000002E-3</v>
      </c>
      <c r="I22" s="7">
        <v>1</v>
      </c>
      <c r="J22" s="20">
        <f>A31*A22</f>
        <v>-4.343000000000001E-2</v>
      </c>
      <c r="K22" s="20">
        <f t="shared" ref="K22:Q22" si="23">B31*B22</f>
        <v>-3.9390000000000001E-2</v>
      </c>
      <c r="L22" s="20">
        <f t="shared" si="23"/>
        <v>-7.8110000000000011E-3</v>
      </c>
      <c r="M22" s="20">
        <f t="shared" si="23"/>
        <v>-6.0749999999999997E-3</v>
      </c>
      <c r="N22" s="20">
        <f t="shared" si="23"/>
        <v>-1.5540000000000003E-3</v>
      </c>
      <c r="O22" s="20">
        <f t="shared" si="23"/>
        <v>-6.379999999999999E-4</v>
      </c>
      <c r="P22" s="20">
        <f t="shared" si="23"/>
        <v>-3.5000000000000005E-4</v>
      </c>
      <c r="Q22" s="20">
        <f t="shared" si="23"/>
        <v>-1.4400000000000003E-4</v>
      </c>
      <c r="R22" s="20">
        <f t="shared" si="3"/>
        <v>-9.9392000000000008E-2</v>
      </c>
      <c r="S22" s="20">
        <f t="shared" si="15"/>
        <v>-0.90060799999999996</v>
      </c>
      <c r="T22" s="20">
        <f t="shared" si="1"/>
        <v>-1</v>
      </c>
      <c r="U22" s="16"/>
    </row>
    <row r="23" spans="1:21" x14ac:dyDescent="0.25">
      <c r="J23" s="1"/>
    </row>
    <row r="24" spans="1:21" x14ac:dyDescent="0.25">
      <c r="A24" t="s">
        <v>54</v>
      </c>
      <c r="J24" s="1"/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  <c r="J25" s="1"/>
    </row>
    <row r="26" spans="1:21" x14ac:dyDescent="0.25">
      <c r="A26" s="6">
        <f t="shared" ref="A26:H26" si="24">MIN(A3:A12)</f>
        <v>0.41899999999999998</v>
      </c>
      <c r="B26" s="6">
        <f t="shared" si="24"/>
        <v>0.128</v>
      </c>
      <c r="C26" s="6">
        <f t="shared" si="24"/>
        <v>6.0999999999999999E-2</v>
      </c>
      <c r="D26" s="6">
        <f t="shared" si="24"/>
        <v>3.4000000000000002E-2</v>
      </c>
      <c r="E26" s="6">
        <f t="shared" si="24"/>
        <v>2.1000000000000001E-2</v>
      </c>
      <c r="F26" s="6">
        <f t="shared" si="24"/>
        <v>1.6E-2</v>
      </c>
      <c r="G26" s="6">
        <f t="shared" si="24"/>
        <v>8.9999999999999993E-3</v>
      </c>
      <c r="H26" s="6">
        <f t="shared" si="24"/>
        <v>6.0000000000000001E-3</v>
      </c>
      <c r="I26" s="6">
        <v>0</v>
      </c>
      <c r="J26" s="1"/>
    </row>
    <row r="27" spans="1:21" x14ac:dyDescent="0.25">
      <c r="A27" s="7">
        <f t="shared" ref="A27:H27" si="25">MAX(A13:A22)</f>
        <v>0.505</v>
      </c>
      <c r="B27" s="7">
        <f t="shared" si="25"/>
        <v>0.33</v>
      </c>
      <c r="C27" s="7">
        <f t="shared" si="25"/>
        <v>0.13400000000000001</v>
      </c>
      <c r="D27" s="7">
        <f t="shared" si="25"/>
        <v>0.109</v>
      </c>
      <c r="E27" s="7">
        <f t="shared" si="25"/>
        <v>5.8000000000000003E-2</v>
      </c>
      <c r="F27" s="7">
        <f t="shared" si="25"/>
        <v>4.4999999999999998E-2</v>
      </c>
      <c r="G27" s="7">
        <f t="shared" si="25"/>
        <v>3.4000000000000002E-2</v>
      </c>
      <c r="H27" s="7">
        <f t="shared" si="25"/>
        <v>2.4E-2</v>
      </c>
      <c r="I27" s="7">
        <v>1</v>
      </c>
      <c r="J27" s="1"/>
    </row>
    <row r="28" spans="1:21" x14ac:dyDescent="0.25">
      <c r="J28" s="1"/>
    </row>
    <row r="29" spans="1:21" x14ac:dyDescent="0.25">
      <c r="A29" t="s">
        <v>55</v>
      </c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-8.6000000000000021E-2</v>
      </c>
      <c r="B31" s="2">
        <f t="shared" ref="B31:H31" si="26">SUM(B26-B27)</f>
        <v>-0.20200000000000001</v>
      </c>
      <c r="C31" s="2">
        <f t="shared" si="26"/>
        <v>-7.3000000000000009E-2</v>
      </c>
      <c r="D31" s="2">
        <f t="shared" si="26"/>
        <v>-7.4999999999999997E-2</v>
      </c>
      <c r="E31" s="2">
        <f t="shared" si="26"/>
        <v>-3.7000000000000005E-2</v>
      </c>
      <c r="F31" s="2">
        <f t="shared" si="26"/>
        <v>-2.8999999999999998E-2</v>
      </c>
      <c r="G31" s="2">
        <f t="shared" si="26"/>
        <v>-2.5000000000000001E-2</v>
      </c>
      <c r="H31" s="2">
        <f t="shared" si="26"/>
        <v>-1.8000000000000002E-2</v>
      </c>
    </row>
    <row r="32" spans="1:21" x14ac:dyDescent="0.25">
      <c r="J32" s="1"/>
    </row>
    <row r="33" spans="1:22" x14ac:dyDescent="0.25">
      <c r="A33" t="s">
        <v>22</v>
      </c>
      <c r="B33" s="1"/>
      <c r="J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0.51900000000000002</v>
      </c>
      <c r="B35" s="2">
        <v>0.14399999999999999</v>
      </c>
      <c r="C35" s="2">
        <v>0.11700000000000001</v>
      </c>
      <c r="D35" s="2">
        <v>6.3E-2</v>
      </c>
      <c r="E35" s="2">
        <v>3.6999999999999998E-2</v>
      </c>
      <c r="F35" s="2">
        <v>2.4E-2</v>
      </c>
      <c r="G35" s="2">
        <v>0.02</v>
      </c>
      <c r="H35" s="2">
        <v>1.4E-2</v>
      </c>
      <c r="I35" s="3">
        <v>0</v>
      </c>
      <c r="J35" s="21">
        <f t="shared" ref="J35:Q35" si="27">A31*A35</f>
        <v>-4.4634000000000014E-2</v>
      </c>
      <c r="K35" s="21">
        <f t="shared" si="27"/>
        <v>-2.9087999999999999E-2</v>
      </c>
      <c r="L35" s="21">
        <f t="shared" si="27"/>
        <v>-8.5410000000000017E-3</v>
      </c>
      <c r="M35" s="21">
        <f t="shared" si="27"/>
        <v>-4.725E-3</v>
      </c>
      <c r="N35" s="21">
        <f t="shared" si="27"/>
        <v>-1.3690000000000002E-3</v>
      </c>
      <c r="O35" s="21">
        <f t="shared" si="27"/>
        <v>-6.96E-4</v>
      </c>
      <c r="P35" s="21">
        <f t="shared" si="27"/>
        <v>-5.0000000000000001E-4</v>
      </c>
      <c r="Q35" s="21">
        <f t="shared" si="27"/>
        <v>-2.5200000000000005E-4</v>
      </c>
      <c r="R35" s="2">
        <f>SUM(J35:Q35)</f>
        <v>-8.980500000000001E-2</v>
      </c>
      <c r="S35" s="2">
        <f>MEDIAN(S3:S22)</f>
        <v>9.9090000000000011E-2</v>
      </c>
      <c r="T35" s="2">
        <v>1</v>
      </c>
      <c r="U35" s="2">
        <f>SUM(R35+S35+T35)</f>
        <v>1.009285</v>
      </c>
      <c r="V35" s="2">
        <f>IF(U35&gt;0,0,1)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DAA9-2EDF-4DFA-8DBC-E2B41E35A43E}">
  <dimension ref="A1:V35"/>
  <sheetViews>
    <sheetView zoomScale="70" zoomScaleNormal="70" workbookViewId="0"/>
  </sheetViews>
  <sheetFormatPr defaultRowHeight="15" x14ac:dyDescent="0.25"/>
  <cols>
    <col min="9" max="9" width="7.28515625" bestFit="1" customWidth="1"/>
    <col min="10" max="10" width="10.7109375" bestFit="1" customWidth="1"/>
    <col min="11" max="11" width="10" bestFit="1" customWidth="1"/>
    <col min="12" max="17" width="10.7109375" bestFit="1" customWidth="1"/>
    <col min="18" max="18" width="17.7109375" bestFit="1" customWidth="1"/>
    <col min="19" max="19" width="14.42578125" bestFit="1" customWidth="1"/>
    <col min="20" max="21" width="5.7109375" bestFit="1" customWidth="1"/>
    <col min="22" max="22" width="21.140625" bestFit="1" customWidth="1"/>
  </cols>
  <sheetData>
    <row r="1" spans="1:21" x14ac:dyDescent="0.25">
      <c r="A1" t="s">
        <v>23</v>
      </c>
      <c r="J1" s="1"/>
    </row>
    <row r="2" spans="1:2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1" x14ac:dyDescent="0.25">
      <c r="A3" s="6">
        <v>0.45800000000000002</v>
      </c>
      <c r="B3" s="6">
        <v>0.14000000000000001</v>
      </c>
      <c r="C3" s="6">
        <v>0.13800000000000001</v>
      </c>
      <c r="D3" s="6">
        <v>6.2E-2</v>
      </c>
      <c r="E3" s="6">
        <v>3.5999999999999997E-2</v>
      </c>
      <c r="F3" s="6">
        <v>3.5000000000000003E-2</v>
      </c>
      <c r="G3" s="6">
        <v>2.5000000000000001E-2</v>
      </c>
      <c r="H3" s="6">
        <v>1.2999999999999999E-2</v>
      </c>
      <c r="I3" s="6">
        <v>0</v>
      </c>
      <c r="J3" s="19">
        <f>A31*A3</f>
        <v>-4.1678000000000014E-2</v>
      </c>
      <c r="K3" s="19">
        <f t="shared" ref="K3:Q3" si="0">B31*B3</f>
        <v>-2.8560000000000006E-2</v>
      </c>
      <c r="L3" s="19">
        <f t="shared" si="0"/>
        <v>-1.0212000000000002E-2</v>
      </c>
      <c r="M3" s="19">
        <f t="shared" si="0"/>
        <v>-4.6499999999999996E-3</v>
      </c>
      <c r="N3" s="19">
        <f t="shared" si="0"/>
        <v>-1.3320000000000001E-3</v>
      </c>
      <c r="O3" s="19">
        <f t="shared" si="0"/>
        <v>-1.0150000000000001E-3</v>
      </c>
      <c r="P3" s="19">
        <f t="shared" si="0"/>
        <v>-6.2500000000000012E-4</v>
      </c>
      <c r="Q3" s="19">
        <f t="shared" si="0"/>
        <v>-2.4700000000000004E-4</v>
      </c>
      <c r="R3" s="19">
        <f>SUM(J3:Q3)</f>
        <v>-8.8319000000000022E-2</v>
      </c>
      <c r="S3" s="19">
        <f>ABS(R3)+1</f>
        <v>1.088319</v>
      </c>
      <c r="T3" s="19">
        <f t="shared" ref="T3:T22" si="1">R3+S3</f>
        <v>1</v>
      </c>
      <c r="U3" s="16"/>
    </row>
    <row r="4" spans="1:21" x14ac:dyDescent="0.25">
      <c r="A4" s="6">
        <v>0.49199999999999999</v>
      </c>
      <c r="B4" s="6">
        <v>0.13300000000000001</v>
      </c>
      <c r="C4" s="6">
        <v>0.11799999999999999</v>
      </c>
      <c r="D4" s="6">
        <v>9.0999999999999998E-2</v>
      </c>
      <c r="E4" s="6">
        <v>5.6000000000000001E-2</v>
      </c>
      <c r="F4" s="6">
        <v>2.5999999999999999E-2</v>
      </c>
      <c r="G4" s="6">
        <v>1.4999999999999999E-2</v>
      </c>
      <c r="H4" s="6">
        <v>1.0999999999999999E-2</v>
      </c>
      <c r="I4" s="6">
        <v>0</v>
      </c>
      <c r="J4" s="19">
        <f>A31*A4</f>
        <v>-4.4772000000000013E-2</v>
      </c>
      <c r="K4" s="19">
        <f t="shared" ref="K4:Q4" si="2">B31*B4</f>
        <v>-2.7132000000000003E-2</v>
      </c>
      <c r="L4" s="19">
        <f t="shared" si="2"/>
        <v>-8.7320000000000002E-3</v>
      </c>
      <c r="M4" s="19">
        <f t="shared" si="2"/>
        <v>-6.8249999999999995E-3</v>
      </c>
      <c r="N4" s="19">
        <f t="shared" si="2"/>
        <v>-2.0720000000000005E-3</v>
      </c>
      <c r="O4" s="19">
        <f t="shared" si="2"/>
        <v>-7.539999999999999E-4</v>
      </c>
      <c r="P4" s="19">
        <f t="shared" si="2"/>
        <v>-3.7500000000000001E-4</v>
      </c>
      <c r="Q4" s="19">
        <f t="shared" si="2"/>
        <v>-2.0900000000000001E-4</v>
      </c>
      <c r="R4" s="19">
        <f t="shared" ref="R4:R22" si="3">SUM(J4:Q4)</f>
        <v>-9.0871000000000035E-2</v>
      </c>
      <c r="S4" s="19">
        <f t="shared" ref="S4:S12" si="4">ABS(R4)+1</f>
        <v>1.0908709999999999</v>
      </c>
      <c r="T4" s="19">
        <f t="shared" si="1"/>
        <v>0.99999999999999989</v>
      </c>
      <c r="U4" s="16"/>
    </row>
    <row r="5" spans="1:21" x14ac:dyDescent="0.25">
      <c r="A5" s="6">
        <v>0.45400000000000001</v>
      </c>
      <c r="B5" s="6">
        <v>0.184</v>
      </c>
      <c r="C5" s="6">
        <v>0.128</v>
      </c>
      <c r="D5" s="6">
        <v>0.1</v>
      </c>
      <c r="E5" s="6">
        <v>2.8000000000000001E-2</v>
      </c>
      <c r="F5" s="6">
        <v>2.1999999999999999E-2</v>
      </c>
      <c r="G5" s="6">
        <v>1.4E-2</v>
      </c>
      <c r="H5" s="6">
        <v>1.0999999999999999E-2</v>
      </c>
      <c r="I5" s="6">
        <v>0</v>
      </c>
      <c r="J5" s="19">
        <f>A31*A5</f>
        <v>-4.131400000000001E-2</v>
      </c>
      <c r="K5" s="19">
        <f t="shared" ref="K5:Q5" si="5">B31*B5</f>
        <v>-3.7536E-2</v>
      </c>
      <c r="L5" s="19">
        <f t="shared" si="5"/>
        <v>-9.4720000000000013E-3</v>
      </c>
      <c r="M5" s="19">
        <f t="shared" si="5"/>
        <v>-7.4999999999999997E-3</v>
      </c>
      <c r="N5" s="19">
        <f t="shared" si="5"/>
        <v>-1.0360000000000002E-3</v>
      </c>
      <c r="O5" s="19">
        <f t="shared" si="5"/>
        <v>-6.379999999999999E-4</v>
      </c>
      <c r="P5" s="19">
        <f t="shared" si="5"/>
        <v>-3.5000000000000005E-4</v>
      </c>
      <c r="Q5" s="19">
        <f t="shared" si="5"/>
        <v>-2.0900000000000001E-4</v>
      </c>
      <c r="R5" s="19">
        <f t="shared" si="3"/>
        <v>-9.8055000000000017E-2</v>
      </c>
      <c r="S5" s="19">
        <f t="shared" si="4"/>
        <v>1.098055</v>
      </c>
      <c r="T5" s="19">
        <f t="shared" si="1"/>
        <v>1</v>
      </c>
      <c r="U5" s="16"/>
    </row>
    <row r="6" spans="1:21" x14ac:dyDescent="0.25">
      <c r="A6" s="6">
        <v>0.438</v>
      </c>
      <c r="B6" s="6">
        <v>0.17699999999999999</v>
      </c>
      <c r="C6" s="6">
        <v>0.108</v>
      </c>
      <c r="D6" s="6">
        <v>5.2999999999999999E-2</v>
      </c>
      <c r="E6" s="6">
        <v>4.4999999999999998E-2</v>
      </c>
      <c r="F6" s="6">
        <v>3.3000000000000002E-2</v>
      </c>
      <c r="G6" s="6">
        <v>2.1999999999999999E-2</v>
      </c>
      <c r="H6" s="6">
        <v>1.7000000000000001E-2</v>
      </c>
      <c r="I6" s="6">
        <v>0</v>
      </c>
      <c r="J6" s="19">
        <f>A31*A6</f>
        <v>-3.9858000000000011E-2</v>
      </c>
      <c r="K6" s="19">
        <f t="shared" ref="K6:Q6" si="6">B31*B6</f>
        <v>-3.6108000000000001E-2</v>
      </c>
      <c r="L6" s="19">
        <f t="shared" si="6"/>
        <v>-7.9920000000000008E-3</v>
      </c>
      <c r="M6" s="19">
        <f t="shared" si="6"/>
        <v>-3.9749999999999994E-3</v>
      </c>
      <c r="N6" s="19">
        <f t="shared" si="6"/>
        <v>-1.6650000000000002E-3</v>
      </c>
      <c r="O6" s="19">
        <f t="shared" si="6"/>
        <v>-9.5699999999999995E-4</v>
      </c>
      <c r="P6" s="19">
        <f t="shared" si="6"/>
        <v>-5.5000000000000003E-4</v>
      </c>
      <c r="Q6" s="19">
        <f t="shared" si="6"/>
        <v>-3.230000000000001E-4</v>
      </c>
      <c r="R6" s="19">
        <f t="shared" si="3"/>
        <v>-9.1428000000000009E-2</v>
      </c>
      <c r="S6" s="19">
        <f t="shared" si="4"/>
        <v>1.0914280000000001</v>
      </c>
      <c r="T6" s="19">
        <f t="shared" si="1"/>
        <v>1</v>
      </c>
      <c r="U6" s="16"/>
    </row>
    <row r="7" spans="1:21" x14ac:dyDescent="0.25">
      <c r="A7" s="6">
        <v>0.57599999999999996</v>
      </c>
      <c r="B7" s="6">
        <v>0.128</v>
      </c>
      <c r="C7" s="6">
        <v>0.11</v>
      </c>
      <c r="D7" s="6">
        <v>5.7000000000000002E-2</v>
      </c>
      <c r="E7" s="6">
        <v>5.2999999999999999E-2</v>
      </c>
      <c r="F7" s="6">
        <v>1.6E-2</v>
      </c>
      <c r="G7" s="6">
        <v>1.4999999999999999E-2</v>
      </c>
      <c r="H7" s="6">
        <v>7.0000000000000001E-3</v>
      </c>
      <c r="I7" s="6">
        <v>0</v>
      </c>
      <c r="J7" s="19">
        <f>A31*A7</f>
        <v>-5.2416000000000011E-2</v>
      </c>
      <c r="K7" s="19">
        <f t="shared" ref="K7:Q7" si="7">B31*B7</f>
        <v>-2.6112000000000003E-2</v>
      </c>
      <c r="L7" s="19">
        <f t="shared" si="7"/>
        <v>-8.1400000000000014E-3</v>
      </c>
      <c r="M7" s="19">
        <f t="shared" si="7"/>
        <v>-4.2750000000000002E-3</v>
      </c>
      <c r="N7" s="19">
        <f t="shared" si="7"/>
        <v>-1.9610000000000001E-3</v>
      </c>
      <c r="O7" s="19">
        <f t="shared" si="7"/>
        <v>-4.64E-4</v>
      </c>
      <c r="P7" s="19">
        <f t="shared" si="7"/>
        <v>-3.7500000000000001E-4</v>
      </c>
      <c r="Q7" s="19">
        <f t="shared" si="7"/>
        <v>-1.3300000000000003E-4</v>
      </c>
      <c r="R7" s="19">
        <f t="shared" si="3"/>
        <v>-9.3876000000000029E-2</v>
      </c>
      <c r="S7" s="19">
        <f t="shared" si="4"/>
        <v>1.0938760000000001</v>
      </c>
      <c r="T7" s="19">
        <f t="shared" si="1"/>
        <v>1</v>
      </c>
      <c r="U7" s="16"/>
    </row>
    <row r="8" spans="1:21" x14ac:dyDescent="0.25">
      <c r="A8" s="6">
        <v>0.48099999999999998</v>
      </c>
      <c r="B8" s="6">
        <v>0.19</v>
      </c>
      <c r="C8" s="6">
        <v>7.6999999999999999E-2</v>
      </c>
      <c r="D8" s="6">
        <v>6.7000000000000004E-2</v>
      </c>
      <c r="E8" s="6">
        <v>0.06</v>
      </c>
      <c r="F8" s="6">
        <v>3.3000000000000002E-2</v>
      </c>
      <c r="G8" s="6">
        <v>1.6E-2</v>
      </c>
      <c r="H8" s="6">
        <v>1.2999999999999999E-2</v>
      </c>
      <c r="I8" s="6">
        <v>0</v>
      </c>
      <c r="J8" s="19">
        <f>A31*A8</f>
        <v>-4.3771000000000011E-2</v>
      </c>
      <c r="K8" s="19">
        <f t="shared" ref="K8:Q8" si="8">B31*B8</f>
        <v>-3.8760000000000003E-2</v>
      </c>
      <c r="L8" s="19">
        <f t="shared" si="8"/>
        <v>-5.6980000000000008E-3</v>
      </c>
      <c r="M8" s="19">
        <f t="shared" si="8"/>
        <v>-5.025E-3</v>
      </c>
      <c r="N8" s="19">
        <f t="shared" si="8"/>
        <v>-2.2200000000000002E-3</v>
      </c>
      <c r="O8" s="19">
        <f t="shared" si="8"/>
        <v>-9.5699999999999995E-4</v>
      </c>
      <c r="P8" s="19">
        <f t="shared" si="8"/>
        <v>-4.0000000000000002E-4</v>
      </c>
      <c r="Q8" s="19">
        <f t="shared" si="8"/>
        <v>-2.4700000000000004E-4</v>
      </c>
      <c r="R8" s="19">
        <f t="shared" si="3"/>
        <v>-9.7078000000000012E-2</v>
      </c>
      <c r="S8" s="19">
        <f t="shared" si="4"/>
        <v>1.097078</v>
      </c>
      <c r="T8" s="19">
        <f t="shared" si="1"/>
        <v>1</v>
      </c>
      <c r="U8" s="16"/>
    </row>
    <row r="9" spans="1:21" x14ac:dyDescent="0.25">
      <c r="A9" s="6">
        <v>0.499</v>
      </c>
      <c r="B9" s="6">
        <v>0.151</v>
      </c>
      <c r="C9" s="6">
        <v>0.115</v>
      </c>
      <c r="D9" s="6">
        <v>4.7E-2</v>
      </c>
      <c r="E9" s="6">
        <v>3.9E-2</v>
      </c>
      <c r="F9" s="6">
        <v>2.4E-2</v>
      </c>
      <c r="G9" s="6">
        <v>2.1000000000000001E-2</v>
      </c>
      <c r="H9" s="6">
        <v>1.4E-2</v>
      </c>
      <c r="I9" s="6">
        <v>0</v>
      </c>
      <c r="J9" s="19">
        <f>A31*A9</f>
        <v>-4.5409000000000012E-2</v>
      </c>
      <c r="K9" s="19">
        <f t="shared" ref="K9:Q9" si="9">B31*B9</f>
        <v>-3.0804000000000002E-2</v>
      </c>
      <c r="L9" s="19">
        <f t="shared" si="9"/>
        <v>-8.5100000000000019E-3</v>
      </c>
      <c r="M9" s="19">
        <f t="shared" si="9"/>
        <v>-3.5249999999999999E-3</v>
      </c>
      <c r="N9" s="19">
        <f t="shared" si="9"/>
        <v>-1.4430000000000003E-3</v>
      </c>
      <c r="O9" s="19">
        <f t="shared" si="9"/>
        <v>-6.96E-4</v>
      </c>
      <c r="P9" s="19">
        <f t="shared" si="9"/>
        <v>-5.2500000000000008E-4</v>
      </c>
      <c r="Q9" s="19">
        <f t="shared" si="9"/>
        <v>-2.6600000000000007E-4</v>
      </c>
      <c r="R9" s="19">
        <f t="shared" si="3"/>
        <v>-9.1178000000000023E-2</v>
      </c>
      <c r="S9" s="19">
        <f t="shared" si="4"/>
        <v>1.091178</v>
      </c>
      <c r="T9" s="19">
        <f t="shared" si="1"/>
        <v>1</v>
      </c>
      <c r="U9" s="16"/>
    </row>
    <row r="10" spans="1:21" x14ac:dyDescent="0.25">
      <c r="A10" s="6">
        <v>0.60799999999999998</v>
      </c>
      <c r="B10" s="6">
        <v>0.19900000000000001</v>
      </c>
      <c r="C10" s="6">
        <v>0.06</v>
      </c>
      <c r="D10" s="6">
        <v>3.4000000000000002E-2</v>
      </c>
      <c r="E10" s="6">
        <v>2.1000000000000001E-2</v>
      </c>
      <c r="F10" s="6">
        <v>1.7000000000000001E-2</v>
      </c>
      <c r="G10" s="6">
        <v>8.9999999999999993E-3</v>
      </c>
      <c r="H10" s="6">
        <v>6.0000000000000001E-3</v>
      </c>
      <c r="I10" s="6">
        <v>0</v>
      </c>
      <c r="J10" s="19">
        <f>A31*A10</f>
        <v>-5.5328000000000016E-2</v>
      </c>
      <c r="K10" s="19">
        <f t="shared" ref="K10:Q10" si="10">B31*B10</f>
        <v>-4.0596000000000007E-2</v>
      </c>
      <c r="L10" s="19">
        <f t="shared" si="10"/>
        <v>-4.4400000000000004E-3</v>
      </c>
      <c r="M10" s="19">
        <f t="shared" si="10"/>
        <v>-2.5500000000000002E-3</v>
      </c>
      <c r="N10" s="19">
        <f t="shared" si="10"/>
        <v>-7.7700000000000013E-4</v>
      </c>
      <c r="O10" s="19">
        <f t="shared" si="10"/>
        <v>-4.9299999999999995E-4</v>
      </c>
      <c r="P10" s="19">
        <f t="shared" si="10"/>
        <v>-2.2499999999999999E-4</v>
      </c>
      <c r="Q10" s="19">
        <f t="shared" si="10"/>
        <v>-1.1400000000000002E-4</v>
      </c>
      <c r="R10" s="19">
        <f t="shared" si="3"/>
        <v>-0.10452300000000002</v>
      </c>
      <c r="S10" s="19">
        <f t="shared" si="4"/>
        <v>1.1045229999999999</v>
      </c>
      <c r="T10" s="19">
        <f t="shared" si="1"/>
        <v>0.99999999999999989</v>
      </c>
      <c r="U10" s="16"/>
    </row>
    <row r="11" spans="1:21" x14ac:dyDescent="0.25">
      <c r="A11" s="6">
        <v>0.47599999999999998</v>
      </c>
      <c r="B11" s="6">
        <v>0.21199999999999999</v>
      </c>
      <c r="C11" s="6">
        <v>6.8000000000000005E-2</v>
      </c>
      <c r="D11" s="6">
        <v>6.5000000000000002E-2</v>
      </c>
      <c r="E11" s="6">
        <v>3.9E-2</v>
      </c>
      <c r="F11" s="6">
        <v>0.03</v>
      </c>
      <c r="G11" s="6">
        <v>2.3E-2</v>
      </c>
      <c r="H11" s="6">
        <v>1.6E-2</v>
      </c>
      <c r="I11" s="6">
        <v>0</v>
      </c>
      <c r="J11" s="19">
        <f>A31*A11</f>
        <v>-4.3316000000000007E-2</v>
      </c>
      <c r="K11" s="19">
        <f t="shared" ref="K11:Q11" si="11">B31*B11</f>
        <v>-4.3248000000000002E-2</v>
      </c>
      <c r="L11" s="19">
        <f t="shared" si="11"/>
        <v>-5.0320000000000009E-3</v>
      </c>
      <c r="M11" s="19">
        <f t="shared" si="11"/>
        <v>-4.875E-3</v>
      </c>
      <c r="N11" s="19">
        <f t="shared" si="11"/>
        <v>-1.4430000000000003E-3</v>
      </c>
      <c r="O11" s="19">
        <f t="shared" si="11"/>
        <v>-8.699999999999999E-4</v>
      </c>
      <c r="P11" s="19">
        <f t="shared" si="11"/>
        <v>-5.7499999999999999E-4</v>
      </c>
      <c r="Q11" s="19">
        <f t="shared" si="11"/>
        <v>-3.0400000000000007E-4</v>
      </c>
      <c r="R11" s="19">
        <f t="shared" si="3"/>
        <v>-9.9663000000000002E-2</v>
      </c>
      <c r="S11" s="19">
        <f t="shared" si="4"/>
        <v>1.0996630000000001</v>
      </c>
      <c r="T11" s="19">
        <f t="shared" si="1"/>
        <v>1</v>
      </c>
      <c r="U11" s="16"/>
    </row>
    <row r="12" spans="1:21" x14ac:dyDescent="0.25">
      <c r="A12" s="6">
        <v>0.41899999999999998</v>
      </c>
      <c r="B12" s="6">
        <v>0.23899999999999999</v>
      </c>
      <c r="C12" s="6">
        <v>6.7000000000000004E-2</v>
      </c>
      <c r="D12" s="6">
        <v>6.3E-2</v>
      </c>
      <c r="E12" s="6">
        <v>3.2000000000000001E-2</v>
      </c>
      <c r="F12" s="6">
        <v>3.2000000000000001E-2</v>
      </c>
      <c r="G12" s="6">
        <v>2.7E-2</v>
      </c>
      <c r="H12" s="6">
        <v>1.7999999999999999E-2</v>
      </c>
      <c r="I12" s="6">
        <v>0</v>
      </c>
      <c r="J12" s="19">
        <f>A31*A12</f>
        <v>-3.812900000000001E-2</v>
      </c>
      <c r="K12" s="19">
        <f t="shared" ref="K12:Q12" si="12">B31*B12</f>
        <v>-4.8756000000000001E-2</v>
      </c>
      <c r="L12" s="19">
        <f t="shared" si="12"/>
        <v>-4.9580000000000006E-3</v>
      </c>
      <c r="M12" s="19">
        <f t="shared" si="12"/>
        <v>-4.725E-3</v>
      </c>
      <c r="N12" s="19">
        <f t="shared" si="12"/>
        <v>-1.1840000000000002E-3</v>
      </c>
      <c r="O12" s="19">
        <f t="shared" si="12"/>
        <v>-9.2800000000000001E-4</v>
      </c>
      <c r="P12" s="19">
        <f t="shared" si="12"/>
        <v>-6.7500000000000004E-4</v>
      </c>
      <c r="Q12" s="19">
        <f t="shared" si="12"/>
        <v>-3.4200000000000002E-4</v>
      </c>
      <c r="R12" s="19">
        <f t="shared" si="3"/>
        <v>-9.9697000000000008E-2</v>
      </c>
      <c r="S12" s="19">
        <f t="shared" si="4"/>
        <v>1.0996969999999999</v>
      </c>
      <c r="T12" s="19">
        <f t="shared" si="1"/>
        <v>0.99999999999999989</v>
      </c>
      <c r="U12" s="16"/>
    </row>
    <row r="13" spans="1:21" x14ac:dyDescent="0.25">
      <c r="A13" s="7">
        <v>0.46100000000000002</v>
      </c>
      <c r="B13" s="7">
        <v>0.17100000000000001</v>
      </c>
      <c r="C13" s="7">
        <v>0.11700000000000001</v>
      </c>
      <c r="D13" s="7">
        <v>0.106</v>
      </c>
      <c r="E13" s="7">
        <v>3.1E-2</v>
      </c>
      <c r="F13" s="7">
        <v>2.9000000000000001E-2</v>
      </c>
      <c r="G13" s="7">
        <v>1.2999999999999999E-2</v>
      </c>
      <c r="H13" s="7">
        <v>0.01</v>
      </c>
      <c r="I13" s="7">
        <v>1</v>
      </c>
      <c r="J13" s="20">
        <f>A31*A13</f>
        <v>-4.1951000000000016E-2</v>
      </c>
      <c r="K13" s="20">
        <f t="shared" ref="K13:Q13" si="13">B31*B13</f>
        <v>-3.4884000000000005E-2</v>
      </c>
      <c r="L13" s="20">
        <f t="shared" si="13"/>
        <v>-8.6580000000000025E-3</v>
      </c>
      <c r="M13" s="20">
        <f t="shared" si="13"/>
        <v>-7.9499999999999987E-3</v>
      </c>
      <c r="N13" s="20">
        <f t="shared" si="13"/>
        <v>-1.1470000000000002E-3</v>
      </c>
      <c r="O13" s="20">
        <f t="shared" si="13"/>
        <v>-8.4099999999999995E-4</v>
      </c>
      <c r="P13" s="20">
        <f t="shared" si="13"/>
        <v>-3.2499999999999999E-4</v>
      </c>
      <c r="Q13" s="20">
        <f t="shared" si="13"/>
        <v>-1.9000000000000004E-4</v>
      </c>
      <c r="R13" s="20">
        <f t="shared" si="3"/>
        <v>-9.5946000000000004E-2</v>
      </c>
      <c r="S13" s="20">
        <f>ABS(R13)-1</f>
        <v>-0.90405400000000002</v>
      </c>
      <c r="T13" s="20">
        <f t="shared" si="1"/>
        <v>-1</v>
      </c>
      <c r="U13" s="16"/>
    </row>
    <row r="14" spans="1:21" x14ac:dyDescent="0.25">
      <c r="A14" s="7">
        <v>0.40300000000000002</v>
      </c>
      <c r="B14" s="7">
        <v>0.25</v>
      </c>
      <c r="C14" s="7">
        <v>0.13300000000000001</v>
      </c>
      <c r="D14" s="7">
        <v>4.2000000000000003E-2</v>
      </c>
      <c r="E14" s="7">
        <v>3.1E-2</v>
      </c>
      <c r="F14" s="7">
        <v>2.8000000000000001E-2</v>
      </c>
      <c r="G14" s="7">
        <v>2.4E-2</v>
      </c>
      <c r="H14" s="7">
        <v>1.4E-2</v>
      </c>
      <c r="I14" s="7">
        <v>1</v>
      </c>
      <c r="J14" s="20">
        <f>A31*A14</f>
        <v>-3.6673000000000011E-2</v>
      </c>
      <c r="K14" s="20">
        <f t="shared" ref="K14:Q14" si="14">B31*B14</f>
        <v>-5.1000000000000004E-2</v>
      </c>
      <c r="L14" s="20">
        <f t="shared" si="14"/>
        <v>-9.8420000000000018E-3</v>
      </c>
      <c r="M14" s="20">
        <f t="shared" si="14"/>
        <v>-3.15E-3</v>
      </c>
      <c r="N14" s="20">
        <f t="shared" si="14"/>
        <v>-1.1470000000000002E-3</v>
      </c>
      <c r="O14" s="20">
        <f t="shared" si="14"/>
        <v>-8.12E-4</v>
      </c>
      <c r="P14" s="20">
        <f t="shared" si="14"/>
        <v>-6.0000000000000006E-4</v>
      </c>
      <c r="Q14" s="20">
        <f t="shared" si="14"/>
        <v>-2.6600000000000007E-4</v>
      </c>
      <c r="R14" s="20">
        <f t="shared" si="3"/>
        <v>-0.10349000000000001</v>
      </c>
      <c r="S14" s="20">
        <f t="shared" ref="S14:S22" si="15">ABS(R14)-1</f>
        <v>-0.89651000000000003</v>
      </c>
      <c r="T14" s="20">
        <f t="shared" si="1"/>
        <v>-1</v>
      </c>
      <c r="U14" s="16"/>
    </row>
    <row r="15" spans="1:21" x14ac:dyDescent="0.25">
      <c r="A15" s="7">
        <v>0.38100000000000001</v>
      </c>
      <c r="B15" s="7">
        <v>0.30299999999999999</v>
      </c>
      <c r="C15" s="7">
        <v>0.13400000000000001</v>
      </c>
      <c r="D15" s="7">
        <v>4.2999999999999997E-2</v>
      </c>
      <c r="E15" s="7">
        <v>2.4E-2</v>
      </c>
      <c r="F15" s="7">
        <v>2.1000000000000001E-2</v>
      </c>
      <c r="G15" s="7">
        <v>1.7999999999999999E-2</v>
      </c>
      <c r="H15" s="7">
        <v>1.4E-2</v>
      </c>
      <c r="I15" s="7">
        <v>1</v>
      </c>
      <c r="J15" s="20">
        <f>A31*A15</f>
        <v>-3.4671000000000007E-2</v>
      </c>
      <c r="K15" s="20">
        <f t="shared" ref="K15:Q15" si="16">B31*B15</f>
        <v>-6.1812000000000006E-2</v>
      </c>
      <c r="L15" s="20">
        <f t="shared" si="16"/>
        <v>-9.9160000000000012E-3</v>
      </c>
      <c r="M15" s="20">
        <f t="shared" si="16"/>
        <v>-3.2249999999999996E-3</v>
      </c>
      <c r="N15" s="20">
        <f t="shared" si="16"/>
        <v>-8.8800000000000012E-4</v>
      </c>
      <c r="O15" s="20">
        <f t="shared" si="16"/>
        <v>-6.0899999999999995E-4</v>
      </c>
      <c r="P15" s="20">
        <f t="shared" si="16"/>
        <v>-4.4999999999999999E-4</v>
      </c>
      <c r="Q15" s="20">
        <f t="shared" si="16"/>
        <v>-2.6600000000000007E-4</v>
      </c>
      <c r="R15" s="20">
        <f t="shared" si="3"/>
        <v>-0.11183700000000003</v>
      </c>
      <c r="S15" s="20">
        <f t="shared" si="15"/>
        <v>-0.88816299999999992</v>
      </c>
      <c r="T15" s="20">
        <f t="shared" si="1"/>
        <v>-1</v>
      </c>
      <c r="U15" s="16"/>
    </row>
    <row r="16" spans="1:21" x14ac:dyDescent="0.25">
      <c r="A16" s="7">
        <v>0.33</v>
      </c>
      <c r="B16" s="7">
        <v>0.156</v>
      </c>
      <c r="C16" s="7">
        <v>0.114</v>
      </c>
      <c r="D16" s="7">
        <v>9.6000000000000002E-2</v>
      </c>
      <c r="E16" s="7">
        <v>5.8000000000000003E-2</v>
      </c>
      <c r="F16" s="7">
        <v>4.4999999999999998E-2</v>
      </c>
      <c r="G16" s="7">
        <v>3.4000000000000002E-2</v>
      </c>
      <c r="H16" s="7">
        <v>2.5000000000000001E-2</v>
      </c>
      <c r="I16" s="7">
        <v>1</v>
      </c>
      <c r="J16" s="20">
        <f>A31*A16</f>
        <v>-3.0030000000000008E-2</v>
      </c>
      <c r="K16" s="20">
        <f t="shared" ref="K16:Q16" si="17">B31*B16</f>
        <v>-3.1824000000000005E-2</v>
      </c>
      <c r="L16" s="20">
        <f t="shared" si="17"/>
        <v>-8.4360000000000008E-3</v>
      </c>
      <c r="M16" s="20">
        <f t="shared" si="17"/>
        <v>-7.1999999999999998E-3</v>
      </c>
      <c r="N16" s="20">
        <f t="shared" si="17"/>
        <v>-2.1460000000000003E-3</v>
      </c>
      <c r="O16" s="20">
        <f t="shared" si="17"/>
        <v>-1.305E-3</v>
      </c>
      <c r="P16" s="20">
        <f t="shared" si="17"/>
        <v>-8.5000000000000006E-4</v>
      </c>
      <c r="Q16" s="20">
        <f t="shared" si="17"/>
        <v>-4.7500000000000011E-4</v>
      </c>
      <c r="R16" s="20">
        <f t="shared" si="3"/>
        <v>-8.226600000000002E-2</v>
      </c>
      <c r="S16" s="20">
        <f t="shared" si="15"/>
        <v>-0.91773399999999994</v>
      </c>
      <c r="T16" s="20">
        <f t="shared" si="1"/>
        <v>-1</v>
      </c>
      <c r="U16" s="16"/>
    </row>
    <row r="17" spans="1:21" x14ac:dyDescent="0.25">
      <c r="A17" s="7">
        <v>0.38900000000000001</v>
      </c>
      <c r="B17" s="7">
        <v>0.224</v>
      </c>
      <c r="C17" s="7">
        <v>0.127</v>
      </c>
      <c r="D17" s="7">
        <v>6.4000000000000001E-2</v>
      </c>
      <c r="E17" s="7">
        <v>0.05</v>
      </c>
      <c r="F17" s="7">
        <v>3.1E-2</v>
      </c>
      <c r="G17" s="7">
        <v>2.1999999999999999E-2</v>
      </c>
      <c r="H17" s="7">
        <v>1.6E-2</v>
      </c>
      <c r="I17" s="7">
        <v>1</v>
      </c>
      <c r="J17" s="20">
        <f>A31*A17</f>
        <v>-3.5399000000000014E-2</v>
      </c>
      <c r="K17" s="20">
        <f t="shared" ref="K17:Q17" si="18">B31*B17</f>
        <v>-4.5696000000000007E-2</v>
      </c>
      <c r="L17" s="20">
        <f t="shared" si="18"/>
        <v>-9.3980000000000018E-3</v>
      </c>
      <c r="M17" s="20">
        <f t="shared" si="18"/>
        <v>-4.7999999999999996E-3</v>
      </c>
      <c r="N17" s="20">
        <f t="shared" si="18"/>
        <v>-1.8500000000000003E-3</v>
      </c>
      <c r="O17" s="20">
        <f t="shared" si="18"/>
        <v>-8.9899999999999995E-4</v>
      </c>
      <c r="P17" s="20">
        <f t="shared" si="18"/>
        <v>-5.5000000000000003E-4</v>
      </c>
      <c r="Q17" s="20">
        <f t="shared" si="18"/>
        <v>-3.0400000000000007E-4</v>
      </c>
      <c r="R17" s="20">
        <f t="shared" si="3"/>
        <v>-9.8896000000000026E-2</v>
      </c>
      <c r="S17" s="20">
        <f t="shared" si="15"/>
        <v>-0.90110400000000002</v>
      </c>
      <c r="T17" s="20">
        <f t="shared" si="1"/>
        <v>-1</v>
      </c>
      <c r="U17" s="16"/>
    </row>
    <row r="18" spans="1:21" x14ac:dyDescent="0.25">
      <c r="A18" s="7">
        <v>0.32600000000000001</v>
      </c>
      <c r="B18" s="7">
        <v>0.158</v>
      </c>
      <c r="C18" s="7">
        <v>0.127</v>
      </c>
      <c r="D18" s="7">
        <v>0.109</v>
      </c>
      <c r="E18" s="7">
        <v>5.5E-2</v>
      </c>
      <c r="F18" s="7">
        <v>4.4999999999999998E-2</v>
      </c>
      <c r="G18" s="7">
        <v>3.2000000000000001E-2</v>
      </c>
      <c r="H18" s="7">
        <v>2.5000000000000001E-2</v>
      </c>
      <c r="I18" s="7">
        <v>1</v>
      </c>
      <c r="J18" s="20">
        <f>A31*A18</f>
        <v>-2.9666000000000008E-2</v>
      </c>
      <c r="K18" s="20">
        <f t="shared" ref="K18:Q18" si="19">B31*B18</f>
        <v>-3.2232000000000004E-2</v>
      </c>
      <c r="L18" s="20">
        <f t="shared" si="19"/>
        <v>-9.3980000000000018E-3</v>
      </c>
      <c r="M18" s="20">
        <f t="shared" si="19"/>
        <v>-8.175E-3</v>
      </c>
      <c r="N18" s="20">
        <f t="shared" si="19"/>
        <v>-2.0350000000000004E-3</v>
      </c>
      <c r="O18" s="20">
        <f t="shared" si="19"/>
        <v>-1.305E-3</v>
      </c>
      <c r="P18" s="20">
        <f t="shared" si="19"/>
        <v>-8.0000000000000004E-4</v>
      </c>
      <c r="Q18" s="20">
        <f t="shared" si="19"/>
        <v>-4.7500000000000011E-4</v>
      </c>
      <c r="R18" s="20">
        <f t="shared" si="3"/>
        <v>-8.4086000000000008E-2</v>
      </c>
      <c r="S18" s="20">
        <f t="shared" si="15"/>
        <v>-0.91591400000000001</v>
      </c>
      <c r="T18" s="20">
        <f t="shared" si="1"/>
        <v>-1</v>
      </c>
      <c r="U18" s="16"/>
    </row>
    <row r="19" spans="1:21" x14ac:dyDescent="0.25">
      <c r="A19" s="7">
        <v>0.34399999999999997</v>
      </c>
      <c r="B19" s="7">
        <v>0.33200000000000002</v>
      </c>
      <c r="C19" s="7">
        <v>0.13</v>
      </c>
      <c r="D19" s="7">
        <v>6.2E-2</v>
      </c>
      <c r="E19" s="7">
        <v>3.9E-2</v>
      </c>
      <c r="F19" s="7">
        <v>1.7999999999999999E-2</v>
      </c>
      <c r="G19" s="7">
        <v>1.4E-2</v>
      </c>
      <c r="H19" s="7">
        <v>0.01</v>
      </c>
      <c r="I19" s="7">
        <v>1</v>
      </c>
      <c r="J19" s="20">
        <f>A31*A19</f>
        <v>-3.1304000000000005E-2</v>
      </c>
      <c r="K19" s="20">
        <f t="shared" ref="K19:Q19" si="20">B31*B19</f>
        <v>-6.772800000000001E-2</v>
      </c>
      <c r="L19" s="20">
        <f t="shared" si="20"/>
        <v>-9.6200000000000018E-3</v>
      </c>
      <c r="M19" s="20">
        <f t="shared" si="20"/>
        <v>-4.6499999999999996E-3</v>
      </c>
      <c r="N19" s="20">
        <f t="shared" si="20"/>
        <v>-1.4430000000000003E-3</v>
      </c>
      <c r="O19" s="20">
        <f t="shared" si="20"/>
        <v>-5.2199999999999989E-4</v>
      </c>
      <c r="P19" s="20">
        <f t="shared" si="20"/>
        <v>-3.5000000000000005E-4</v>
      </c>
      <c r="Q19" s="20">
        <f t="shared" si="20"/>
        <v>-1.9000000000000004E-4</v>
      </c>
      <c r="R19" s="20">
        <f t="shared" si="3"/>
        <v>-0.11580700000000001</v>
      </c>
      <c r="S19" s="20">
        <f t="shared" si="15"/>
        <v>-0.88419300000000001</v>
      </c>
      <c r="T19" s="20">
        <f t="shared" si="1"/>
        <v>-1</v>
      </c>
      <c r="U19" s="16"/>
    </row>
    <row r="20" spans="1:21" x14ac:dyDescent="0.25">
      <c r="A20" s="7">
        <v>0.51</v>
      </c>
      <c r="B20" s="7">
        <v>0.217</v>
      </c>
      <c r="C20" s="7">
        <v>7.4999999999999997E-2</v>
      </c>
      <c r="D20" s="7">
        <v>5.5E-2</v>
      </c>
      <c r="E20" s="7">
        <v>3.5000000000000003E-2</v>
      </c>
      <c r="F20" s="7">
        <v>2.1000000000000001E-2</v>
      </c>
      <c r="G20" s="7">
        <v>1.2999999999999999E-2</v>
      </c>
      <c r="H20" s="7">
        <v>1.2E-2</v>
      </c>
      <c r="I20" s="7">
        <v>1</v>
      </c>
      <c r="J20" s="20">
        <f>A31*A20</f>
        <v>-4.6410000000000014E-2</v>
      </c>
      <c r="K20" s="20">
        <f t="shared" ref="K20:Q20" si="21">B31*B20</f>
        <v>-4.4268000000000002E-2</v>
      </c>
      <c r="L20" s="20">
        <f t="shared" si="21"/>
        <v>-5.5500000000000002E-3</v>
      </c>
      <c r="M20" s="20">
        <f t="shared" si="21"/>
        <v>-4.1250000000000002E-3</v>
      </c>
      <c r="N20" s="20">
        <f t="shared" si="21"/>
        <v>-1.2950000000000004E-3</v>
      </c>
      <c r="O20" s="20">
        <f t="shared" si="21"/>
        <v>-6.0899999999999995E-4</v>
      </c>
      <c r="P20" s="20">
        <f t="shared" si="21"/>
        <v>-3.2499999999999999E-4</v>
      </c>
      <c r="Q20" s="20">
        <f t="shared" si="21"/>
        <v>-2.2800000000000004E-4</v>
      </c>
      <c r="R20" s="20">
        <f t="shared" si="3"/>
        <v>-0.10281000000000003</v>
      </c>
      <c r="S20" s="20">
        <f t="shared" si="15"/>
        <v>-0.89718999999999993</v>
      </c>
      <c r="T20" s="20">
        <f t="shared" si="1"/>
        <v>-1</v>
      </c>
      <c r="U20" s="16"/>
    </row>
    <row r="21" spans="1:21" x14ac:dyDescent="0.25">
      <c r="A21" s="7">
        <v>0.46700000000000003</v>
      </c>
      <c r="B21" s="7">
        <v>0.14399999999999999</v>
      </c>
      <c r="C21" s="7">
        <v>0.123</v>
      </c>
      <c r="D21" s="7">
        <v>7.2999999999999995E-2</v>
      </c>
      <c r="E21" s="7">
        <v>3.5999999999999997E-2</v>
      </c>
      <c r="F21" s="7">
        <v>2.9000000000000001E-2</v>
      </c>
      <c r="G21" s="7">
        <v>1.7999999999999999E-2</v>
      </c>
      <c r="H21" s="7">
        <v>1.6E-2</v>
      </c>
      <c r="I21" s="7">
        <v>1</v>
      </c>
      <c r="J21" s="20">
        <f>A31*A21</f>
        <v>-4.2497000000000014E-2</v>
      </c>
      <c r="K21" s="20">
        <f t="shared" ref="K21:Q21" si="22">B31*B21</f>
        <v>-2.9375999999999999E-2</v>
      </c>
      <c r="L21" s="20">
        <f t="shared" si="22"/>
        <v>-9.1020000000000007E-3</v>
      </c>
      <c r="M21" s="20">
        <f t="shared" si="22"/>
        <v>-5.4749999999999998E-3</v>
      </c>
      <c r="N21" s="20">
        <f t="shared" si="22"/>
        <v>-1.3320000000000001E-3</v>
      </c>
      <c r="O21" s="20">
        <f t="shared" si="22"/>
        <v>-8.4099999999999995E-4</v>
      </c>
      <c r="P21" s="20">
        <f t="shared" si="22"/>
        <v>-4.4999999999999999E-4</v>
      </c>
      <c r="Q21" s="20">
        <f t="shared" si="22"/>
        <v>-3.0400000000000007E-4</v>
      </c>
      <c r="R21" s="20">
        <f t="shared" si="3"/>
        <v>-8.9377000000000012E-2</v>
      </c>
      <c r="S21" s="20">
        <f t="shared" si="15"/>
        <v>-0.91062299999999996</v>
      </c>
      <c r="T21" s="20">
        <f t="shared" si="1"/>
        <v>-1</v>
      </c>
      <c r="U21" s="16"/>
    </row>
    <row r="22" spans="1:21" x14ac:dyDescent="0.25">
      <c r="A22" s="7">
        <v>0.504</v>
      </c>
      <c r="B22" s="7">
        <v>0.19500000000000001</v>
      </c>
      <c r="C22" s="7">
        <v>0.107</v>
      </c>
      <c r="D22" s="7">
        <v>8.2000000000000003E-2</v>
      </c>
      <c r="E22" s="7">
        <v>4.2000000000000003E-2</v>
      </c>
      <c r="F22" s="7">
        <v>2.1999999999999999E-2</v>
      </c>
      <c r="G22" s="7">
        <v>1.4E-2</v>
      </c>
      <c r="H22" s="7">
        <v>8.0000000000000002E-3</v>
      </c>
      <c r="I22" s="7">
        <v>1</v>
      </c>
      <c r="J22" s="20">
        <f>A31*A22</f>
        <v>-4.5864000000000016E-2</v>
      </c>
      <c r="K22" s="20">
        <f t="shared" ref="K22:Q22" si="23">B31*B22</f>
        <v>-3.9780000000000003E-2</v>
      </c>
      <c r="L22" s="20">
        <f t="shared" si="23"/>
        <v>-7.9180000000000014E-3</v>
      </c>
      <c r="M22" s="20">
        <f t="shared" si="23"/>
        <v>-6.1500000000000001E-3</v>
      </c>
      <c r="N22" s="20">
        <f t="shared" si="23"/>
        <v>-1.5540000000000003E-3</v>
      </c>
      <c r="O22" s="20">
        <f t="shared" si="23"/>
        <v>-6.379999999999999E-4</v>
      </c>
      <c r="P22" s="20">
        <f t="shared" si="23"/>
        <v>-3.5000000000000005E-4</v>
      </c>
      <c r="Q22" s="20">
        <f t="shared" si="23"/>
        <v>-1.5200000000000004E-4</v>
      </c>
      <c r="R22" s="20">
        <f t="shared" si="3"/>
        <v>-0.10240600000000004</v>
      </c>
      <c r="S22" s="20">
        <f t="shared" si="15"/>
        <v>-0.897594</v>
      </c>
      <c r="T22" s="20">
        <f t="shared" si="1"/>
        <v>-1</v>
      </c>
      <c r="U22" s="16"/>
    </row>
    <row r="23" spans="1:21" x14ac:dyDescent="0.25">
      <c r="J23" s="1"/>
    </row>
    <row r="24" spans="1:21" x14ac:dyDescent="0.25">
      <c r="A24" t="s">
        <v>54</v>
      </c>
      <c r="J24" s="1"/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  <c r="J25" s="1"/>
    </row>
    <row r="26" spans="1:21" x14ac:dyDescent="0.25">
      <c r="A26" s="6">
        <f t="shared" ref="A26:H26" si="24">MIN(A3:A12)</f>
        <v>0.41899999999999998</v>
      </c>
      <c r="B26" s="6">
        <f t="shared" si="24"/>
        <v>0.128</v>
      </c>
      <c r="C26" s="6">
        <f t="shared" si="24"/>
        <v>0.06</v>
      </c>
      <c r="D26" s="6">
        <f t="shared" si="24"/>
        <v>3.4000000000000002E-2</v>
      </c>
      <c r="E26" s="6">
        <f t="shared" si="24"/>
        <v>2.1000000000000001E-2</v>
      </c>
      <c r="F26" s="6">
        <f t="shared" si="24"/>
        <v>1.6E-2</v>
      </c>
      <c r="G26" s="6">
        <f t="shared" si="24"/>
        <v>8.9999999999999993E-3</v>
      </c>
      <c r="H26" s="6">
        <f t="shared" si="24"/>
        <v>6.0000000000000001E-3</v>
      </c>
      <c r="I26" s="6">
        <v>0</v>
      </c>
      <c r="J26" s="1"/>
    </row>
    <row r="27" spans="1:21" x14ac:dyDescent="0.25">
      <c r="A27" s="7">
        <f t="shared" ref="A27:H27" si="25">MAX(A13:A22)</f>
        <v>0.51</v>
      </c>
      <c r="B27" s="7">
        <f t="shared" si="25"/>
        <v>0.33200000000000002</v>
      </c>
      <c r="C27" s="7">
        <f t="shared" si="25"/>
        <v>0.13400000000000001</v>
      </c>
      <c r="D27" s="7">
        <f t="shared" si="25"/>
        <v>0.109</v>
      </c>
      <c r="E27" s="7">
        <f t="shared" si="25"/>
        <v>5.8000000000000003E-2</v>
      </c>
      <c r="F27" s="7">
        <f t="shared" si="25"/>
        <v>4.4999999999999998E-2</v>
      </c>
      <c r="G27" s="7">
        <f t="shared" si="25"/>
        <v>3.4000000000000002E-2</v>
      </c>
      <c r="H27" s="7">
        <f t="shared" si="25"/>
        <v>2.5000000000000001E-2</v>
      </c>
      <c r="I27" s="7">
        <v>1</v>
      </c>
      <c r="J27" s="1"/>
    </row>
    <row r="28" spans="1:21" x14ac:dyDescent="0.25">
      <c r="J28" s="1"/>
    </row>
    <row r="29" spans="1:21" x14ac:dyDescent="0.25">
      <c r="A29" t="s">
        <v>55</v>
      </c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-9.1000000000000025E-2</v>
      </c>
      <c r="B31" s="2">
        <f t="shared" ref="B31:H31" si="26">SUM(B26-B27)</f>
        <v>-0.20400000000000001</v>
      </c>
      <c r="C31" s="2">
        <f t="shared" si="26"/>
        <v>-7.400000000000001E-2</v>
      </c>
      <c r="D31" s="2">
        <f t="shared" si="26"/>
        <v>-7.4999999999999997E-2</v>
      </c>
      <c r="E31" s="2">
        <f t="shared" si="26"/>
        <v>-3.7000000000000005E-2</v>
      </c>
      <c r="F31" s="2">
        <f t="shared" si="26"/>
        <v>-2.8999999999999998E-2</v>
      </c>
      <c r="G31" s="2">
        <f t="shared" si="26"/>
        <v>-2.5000000000000001E-2</v>
      </c>
      <c r="H31" s="2">
        <f t="shared" si="26"/>
        <v>-1.9000000000000003E-2</v>
      </c>
    </row>
    <row r="32" spans="1:21" x14ac:dyDescent="0.25">
      <c r="J32" s="1"/>
    </row>
    <row r="33" spans="1:22" x14ac:dyDescent="0.25">
      <c r="A33" t="s">
        <v>24</v>
      </c>
      <c r="B33" s="1"/>
      <c r="J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0.50800000000000001</v>
      </c>
      <c r="B35" s="2">
        <v>0.126</v>
      </c>
      <c r="C35" s="2">
        <v>8.1000000000000003E-2</v>
      </c>
      <c r="D35" s="2">
        <v>6.6000000000000003E-2</v>
      </c>
      <c r="E35" s="2">
        <v>6.2E-2</v>
      </c>
      <c r="F35" s="2">
        <v>3.5999999999999997E-2</v>
      </c>
      <c r="G35" s="2">
        <v>2.1000000000000001E-2</v>
      </c>
      <c r="H35" s="2">
        <v>1.6E-2</v>
      </c>
      <c r="I35" s="3">
        <v>1</v>
      </c>
      <c r="J35" s="21">
        <f t="shared" ref="J35:Q35" si="27">A31*A35</f>
        <v>-4.6228000000000012E-2</v>
      </c>
      <c r="K35" s="21">
        <f t="shared" si="27"/>
        <v>-2.5704000000000001E-2</v>
      </c>
      <c r="L35" s="21">
        <f t="shared" si="27"/>
        <v>-5.9940000000000011E-3</v>
      </c>
      <c r="M35" s="21">
        <f t="shared" si="27"/>
        <v>-4.9500000000000004E-3</v>
      </c>
      <c r="N35" s="21">
        <f t="shared" si="27"/>
        <v>-2.2940000000000005E-3</v>
      </c>
      <c r="O35" s="21">
        <f t="shared" si="27"/>
        <v>-1.0439999999999998E-3</v>
      </c>
      <c r="P35" s="21">
        <f t="shared" si="27"/>
        <v>-5.2500000000000008E-4</v>
      </c>
      <c r="Q35" s="21">
        <f t="shared" si="27"/>
        <v>-3.0400000000000007E-4</v>
      </c>
      <c r="R35" s="2">
        <f>SUM(J35:Q35)</f>
        <v>-8.7043000000000009E-2</v>
      </c>
      <c r="S35" s="2">
        <f>MEDIAN(S3:S22)</f>
        <v>0.10206300000000001</v>
      </c>
      <c r="T35" s="2">
        <v>1</v>
      </c>
      <c r="U35" s="2">
        <f>SUM(R35+S35+T35)</f>
        <v>1.01502</v>
      </c>
      <c r="V35" s="2">
        <f>IF(U35&gt;0,0,1)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596B-6E79-4370-95BD-89538EB0DCB6}">
  <dimension ref="A1:V35"/>
  <sheetViews>
    <sheetView topLeftCell="A22" zoomScale="70" zoomScaleNormal="70" workbookViewId="0">
      <selection activeCell="A22" sqref="A22"/>
    </sheetView>
  </sheetViews>
  <sheetFormatPr defaultRowHeight="15" x14ac:dyDescent="0.25"/>
  <cols>
    <col min="10" max="10" width="10.7109375" bestFit="1" customWidth="1"/>
    <col min="11" max="11" width="10" bestFit="1" customWidth="1"/>
    <col min="12" max="17" width="10.7109375" bestFit="1" customWidth="1"/>
    <col min="18" max="18" width="17.7109375" bestFit="1" customWidth="1"/>
    <col min="19" max="19" width="14.42578125" bestFit="1" customWidth="1"/>
    <col min="20" max="21" width="5.7109375" bestFit="1" customWidth="1"/>
    <col min="22" max="22" width="21.140625" bestFit="1" customWidth="1"/>
  </cols>
  <sheetData>
    <row r="1" spans="1:21" x14ac:dyDescent="0.25">
      <c r="A1" t="s">
        <v>25</v>
      </c>
      <c r="J1" s="1"/>
    </row>
    <row r="2" spans="1:2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56</v>
      </c>
      <c r="S2" s="10" t="s">
        <v>35</v>
      </c>
      <c r="T2" s="10" t="s">
        <v>37</v>
      </c>
      <c r="U2" s="15"/>
    </row>
    <row r="3" spans="1:21" x14ac:dyDescent="0.25">
      <c r="A3" s="6">
        <v>0.46100000000000002</v>
      </c>
      <c r="B3" s="6">
        <v>0.13900000000000001</v>
      </c>
      <c r="C3" s="6">
        <v>0.13200000000000001</v>
      </c>
      <c r="D3" s="6">
        <v>6.4000000000000001E-2</v>
      </c>
      <c r="E3" s="6">
        <v>3.5999999999999997E-2</v>
      </c>
      <c r="F3" s="6">
        <v>3.5000000000000003E-2</v>
      </c>
      <c r="G3" s="6">
        <v>2.5000000000000001E-2</v>
      </c>
      <c r="H3" s="6">
        <v>1.2999999999999999E-2</v>
      </c>
      <c r="I3" s="6">
        <v>0</v>
      </c>
      <c r="J3" s="19">
        <f>A31*A3</f>
        <v>-4.0568000000000014E-2</v>
      </c>
      <c r="K3" s="19">
        <f t="shared" ref="K3:Q3" si="0">B31*B3</f>
        <v>-2.6688000000000003E-2</v>
      </c>
      <c r="L3" s="19">
        <f t="shared" si="0"/>
        <v>-9.6360000000000022E-3</v>
      </c>
      <c r="M3" s="19">
        <f t="shared" si="0"/>
        <v>-4.8640000000000003E-3</v>
      </c>
      <c r="N3" s="19">
        <f t="shared" si="0"/>
        <v>-1.4399999999999997E-3</v>
      </c>
      <c r="O3" s="19">
        <f t="shared" si="0"/>
        <v>-1.0150000000000001E-3</v>
      </c>
      <c r="P3" s="19">
        <f t="shared" si="0"/>
        <v>-6.2500000000000012E-4</v>
      </c>
      <c r="Q3" s="19">
        <f t="shared" si="0"/>
        <v>-2.2100000000000001E-4</v>
      </c>
      <c r="R3" s="19">
        <f>SUM(J3:Q3)</f>
        <v>-8.5057000000000021E-2</v>
      </c>
      <c r="S3" s="19">
        <f>ABS(R3)+1</f>
        <v>1.0850569999999999</v>
      </c>
      <c r="T3" s="8">
        <f t="shared" ref="T3:T22" si="1">R3+S3</f>
        <v>0.99999999999999989</v>
      </c>
      <c r="U3" s="16"/>
    </row>
    <row r="4" spans="1:21" x14ac:dyDescent="0.25">
      <c r="A4" s="6">
        <v>0.49199999999999999</v>
      </c>
      <c r="B4" s="6">
        <v>0.13700000000000001</v>
      </c>
      <c r="C4" s="6">
        <v>0.11600000000000001</v>
      </c>
      <c r="D4" s="6">
        <v>9.0999999999999998E-2</v>
      </c>
      <c r="E4" s="6">
        <v>5.5E-2</v>
      </c>
      <c r="F4" s="6">
        <v>2.5999999999999999E-2</v>
      </c>
      <c r="G4" s="6">
        <v>1.4E-2</v>
      </c>
      <c r="H4" s="6">
        <v>1.0999999999999999E-2</v>
      </c>
      <c r="I4" s="6">
        <v>0</v>
      </c>
      <c r="J4" s="19">
        <f>A31*A4</f>
        <v>-4.3296000000000008E-2</v>
      </c>
      <c r="K4" s="19">
        <f t="shared" ref="K4:Q4" si="2">B31*B4</f>
        <v>-2.6304000000000001E-2</v>
      </c>
      <c r="L4" s="19">
        <f t="shared" si="2"/>
        <v>-8.4680000000000016E-3</v>
      </c>
      <c r="M4" s="19">
        <f t="shared" si="2"/>
        <v>-6.9159999999999994E-3</v>
      </c>
      <c r="N4" s="19">
        <f t="shared" si="2"/>
        <v>-2.1999999999999997E-3</v>
      </c>
      <c r="O4" s="19">
        <f t="shared" si="2"/>
        <v>-7.539999999999999E-4</v>
      </c>
      <c r="P4" s="19">
        <f t="shared" si="2"/>
        <v>-3.5000000000000005E-4</v>
      </c>
      <c r="Q4" s="19">
        <f t="shared" si="2"/>
        <v>-1.8699999999999999E-4</v>
      </c>
      <c r="R4" s="19">
        <f t="shared" ref="R4:R22" si="3">SUM(J4:Q4)</f>
        <v>-8.8475000000000026E-2</v>
      </c>
      <c r="S4" s="19">
        <f t="shared" ref="S4:S12" si="4">ABS(R4)+1</f>
        <v>1.0884750000000001</v>
      </c>
      <c r="T4" s="8">
        <f t="shared" si="1"/>
        <v>1</v>
      </c>
      <c r="U4" s="16"/>
    </row>
    <row r="5" spans="1:21" x14ac:dyDescent="0.25">
      <c r="A5" s="6">
        <v>0.44700000000000001</v>
      </c>
      <c r="B5" s="6">
        <v>0.183</v>
      </c>
      <c r="C5" s="6">
        <v>0.129</v>
      </c>
      <c r="D5" s="6">
        <v>0.10299999999999999</v>
      </c>
      <c r="E5" s="6">
        <v>0.03</v>
      </c>
      <c r="F5" s="6">
        <v>2.1999999999999999E-2</v>
      </c>
      <c r="G5" s="6">
        <v>1.4E-2</v>
      </c>
      <c r="H5" s="6">
        <v>0.01</v>
      </c>
      <c r="I5" s="6">
        <v>0</v>
      </c>
      <c r="J5" s="19">
        <f>A31*A5</f>
        <v>-3.933600000000001E-2</v>
      </c>
      <c r="K5" s="19">
        <f t="shared" ref="K5:Q5" si="5">B31*B5</f>
        <v>-3.5136000000000001E-2</v>
      </c>
      <c r="L5" s="19">
        <f t="shared" si="5"/>
        <v>-9.4170000000000018E-3</v>
      </c>
      <c r="M5" s="19">
        <f t="shared" si="5"/>
        <v>-7.8279999999999999E-3</v>
      </c>
      <c r="N5" s="19">
        <f t="shared" si="5"/>
        <v>-1.1999999999999997E-3</v>
      </c>
      <c r="O5" s="19">
        <f t="shared" si="5"/>
        <v>-6.379999999999999E-4</v>
      </c>
      <c r="P5" s="19">
        <f t="shared" si="5"/>
        <v>-3.5000000000000005E-4</v>
      </c>
      <c r="Q5" s="19">
        <f t="shared" si="5"/>
        <v>-1.7000000000000001E-4</v>
      </c>
      <c r="R5" s="19">
        <f t="shared" si="3"/>
        <v>-9.4075000000000034E-2</v>
      </c>
      <c r="S5" s="19">
        <f t="shared" si="4"/>
        <v>1.0940750000000001</v>
      </c>
      <c r="T5" s="8">
        <f t="shared" si="1"/>
        <v>1</v>
      </c>
      <c r="U5" s="16"/>
    </row>
    <row r="6" spans="1:21" x14ac:dyDescent="0.25">
      <c r="A6" s="6">
        <v>0.438</v>
      </c>
      <c r="B6" s="6">
        <v>0.17499999999999999</v>
      </c>
      <c r="C6" s="6">
        <v>0.109</v>
      </c>
      <c r="D6" s="6">
        <v>5.1999999999999998E-2</v>
      </c>
      <c r="E6" s="6">
        <v>4.4999999999999998E-2</v>
      </c>
      <c r="F6" s="6">
        <v>3.3000000000000002E-2</v>
      </c>
      <c r="G6" s="6">
        <v>2.3E-2</v>
      </c>
      <c r="H6" s="6">
        <v>1.7999999999999999E-2</v>
      </c>
      <c r="I6" s="6">
        <v>0</v>
      </c>
      <c r="J6" s="19">
        <f>A31*A6</f>
        <v>-3.8544000000000009E-2</v>
      </c>
      <c r="K6" s="19">
        <f t="shared" ref="K6:Q6" si="6">B31*B6</f>
        <v>-3.3599999999999998E-2</v>
      </c>
      <c r="L6" s="19">
        <f t="shared" si="6"/>
        <v>-7.9570000000000005E-3</v>
      </c>
      <c r="M6" s="19">
        <f t="shared" si="6"/>
        <v>-3.9519999999999998E-3</v>
      </c>
      <c r="N6" s="19">
        <f t="shared" si="6"/>
        <v>-1.7999999999999997E-3</v>
      </c>
      <c r="O6" s="19">
        <f t="shared" si="6"/>
        <v>-9.5699999999999995E-4</v>
      </c>
      <c r="P6" s="19">
        <f t="shared" si="6"/>
        <v>-5.7499999999999999E-4</v>
      </c>
      <c r="Q6" s="19">
        <f t="shared" si="6"/>
        <v>-3.0600000000000001E-4</v>
      </c>
      <c r="R6" s="19">
        <f t="shared" si="3"/>
        <v>-8.7691000000000019E-2</v>
      </c>
      <c r="S6" s="19">
        <f t="shared" si="4"/>
        <v>1.087691</v>
      </c>
      <c r="T6" s="8">
        <f t="shared" si="1"/>
        <v>1</v>
      </c>
      <c r="U6" s="16"/>
    </row>
    <row r="7" spans="1:21" x14ac:dyDescent="0.25">
      <c r="A7" s="6">
        <v>0.57299999999999995</v>
      </c>
      <c r="B7" s="6">
        <v>0.129</v>
      </c>
      <c r="C7" s="6">
        <v>0.109</v>
      </c>
      <c r="D7" s="6">
        <v>5.8999999999999997E-2</v>
      </c>
      <c r="E7" s="6">
        <v>5.1999999999999998E-2</v>
      </c>
      <c r="F7" s="6">
        <v>1.7000000000000001E-2</v>
      </c>
      <c r="G7" s="6">
        <v>1.4999999999999999E-2</v>
      </c>
      <c r="H7" s="6">
        <v>7.0000000000000001E-3</v>
      </c>
      <c r="I7" s="6">
        <v>0</v>
      </c>
      <c r="J7" s="19">
        <f>A31*A7</f>
        <v>-5.042400000000001E-2</v>
      </c>
      <c r="K7" s="19">
        <f t="shared" ref="K7:Q7" si="7">B31*B7</f>
        <v>-2.4768000000000002E-2</v>
      </c>
      <c r="L7" s="19">
        <f t="shared" si="7"/>
        <v>-7.9570000000000005E-3</v>
      </c>
      <c r="M7" s="19">
        <f t="shared" si="7"/>
        <v>-4.4839999999999993E-3</v>
      </c>
      <c r="N7" s="19">
        <f t="shared" si="7"/>
        <v>-2.0799999999999994E-3</v>
      </c>
      <c r="O7" s="19">
        <f t="shared" si="7"/>
        <v>-4.9299999999999995E-4</v>
      </c>
      <c r="P7" s="19">
        <f t="shared" si="7"/>
        <v>-3.7500000000000001E-4</v>
      </c>
      <c r="Q7" s="19">
        <f t="shared" si="7"/>
        <v>-1.1900000000000001E-4</v>
      </c>
      <c r="R7" s="19">
        <f t="shared" si="3"/>
        <v>-9.0700000000000003E-2</v>
      </c>
      <c r="S7" s="19">
        <f t="shared" si="4"/>
        <v>1.0907</v>
      </c>
      <c r="T7" s="8">
        <f t="shared" si="1"/>
        <v>1</v>
      </c>
      <c r="U7" s="16"/>
    </row>
    <row r="8" spans="1:21" x14ac:dyDescent="0.25">
      <c r="A8" s="6">
        <v>0.47699999999999998</v>
      </c>
      <c r="B8" s="6">
        <v>0.191</v>
      </c>
      <c r="C8" s="6">
        <v>7.5999999999999998E-2</v>
      </c>
      <c r="D8" s="6">
        <v>6.8000000000000005E-2</v>
      </c>
      <c r="E8" s="6">
        <v>0.06</v>
      </c>
      <c r="F8" s="6">
        <v>3.3000000000000002E-2</v>
      </c>
      <c r="G8" s="6">
        <v>1.6E-2</v>
      </c>
      <c r="H8" s="6">
        <v>1.2999999999999999E-2</v>
      </c>
      <c r="I8" s="6">
        <v>0</v>
      </c>
      <c r="J8" s="19">
        <f>A31*A8</f>
        <v>-4.1976000000000006E-2</v>
      </c>
      <c r="K8" s="19">
        <f t="shared" ref="K8:Q8" si="8">B31*B8</f>
        <v>-3.6672000000000003E-2</v>
      </c>
      <c r="L8" s="19">
        <f t="shared" si="8"/>
        <v>-5.5480000000000008E-3</v>
      </c>
      <c r="M8" s="19">
        <f t="shared" si="8"/>
        <v>-5.1679999999999999E-3</v>
      </c>
      <c r="N8" s="19">
        <f t="shared" si="8"/>
        <v>-2.3999999999999994E-3</v>
      </c>
      <c r="O8" s="19">
        <f t="shared" si="8"/>
        <v>-9.5699999999999995E-4</v>
      </c>
      <c r="P8" s="19">
        <f t="shared" si="8"/>
        <v>-4.0000000000000002E-4</v>
      </c>
      <c r="Q8" s="19">
        <f t="shared" si="8"/>
        <v>-2.2100000000000001E-4</v>
      </c>
      <c r="R8" s="19">
        <f t="shared" si="3"/>
        <v>-9.3342000000000008E-2</v>
      </c>
      <c r="S8" s="19">
        <f t="shared" si="4"/>
        <v>1.093342</v>
      </c>
      <c r="T8" s="8">
        <f t="shared" si="1"/>
        <v>1</v>
      </c>
      <c r="U8" s="16"/>
    </row>
    <row r="9" spans="1:21" x14ac:dyDescent="0.25">
      <c r="A9" s="6">
        <v>0.499</v>
      </c>
      <c r="B9" s="6">
        <v>0.151</v>
      </c>
      <c r="C9" s="6">
        <v>0.114</v>
      </c>
      <c r="D9" s="6">
        <v>4.7E-2</v>
      </c>
      <c r="E9" s="6">
        <v>4.1000000000000002E-2</v>
      </c>
      <c r="F9" s="6">
        <v>2.4E-2</v>
      </c>
      <c r="G9" s="6">
        <v>0.02</v>
      </c>
      <c r="H9" s="6">
        <v>1.4999999999999999E-2</v>
      </c>
      <c r="I9" s="6">
        <v>0</v>
      </c>
      <c r="J9" s="19">
        <f>A31*A9</f>
        <v>-4.3912000000000014E-2</v>
      </c>
      <c r="K9" s="19">
        <f t="shared" ref="K9:Q9" si="9">B31*B9</f>
        <v>-2.8992E-2</v>
      </c>
      <c r="L9" s="19">
        <f t="shared" si="9"/>
        <v>-8.3220000000000013E-3</v>
      </c>
      <c r="M9" s="19">
        <f t="shared" si="9"/>
        <v>-3.5720000000000001E-3</v>
      </c>
      <c r="N9" s="19">
        <f t="shared" si="9"/>
        <v>-1.6399999999999997E-3</v>
      </c>
      <c r="O9" s="19">
        <f t="shared" si="9"/>
        <v>-6.96E-4</v>
      </c>
      <c r="P9" s="19">
        <f t="shared" si="9"/>
        <v>-5.0000000000000001E-4</v>
      </c>
      <c r="Q9" s="19">
        <f t="shared" si="9"/>
        <v>-2.5500000000000002E-4</v>
      </c>
      <c r="R9" s="19">
        <f t="shared" si="3"/>
        <v>-8.7889000000000023E-2</v>
      </c>
      <c r="S9" s="19">
        <f t="shared" si="4"/>
        <v>1.0878890000000001</v>
      </c>
      <c r="T9" s="8">
        <f t="shared" si="1"/>
        <v>1</v>
      </c>
      <c r="U9" s="16"/>
    </row>
    <row r="10" spans="1:21" x14ac:dyDescent="0.25">
      <c r="A10" s="6">
        <v>0.61399999999999999</v>
      </c>
      <c r="B10" s="6">
        <v>0.19500000000000001</v>
      </c>
      <c r="C10" s="6">
        <v>5.8999999999999997E-2</v>
      </c>
      <c r="D10" s="6">
        <v>3.3000000000000002E-2</v>
      </c>
      <c r="E10" s="6">
        <v>2.1000000000000001E-2</v>
      </c>
      <c r="F10" s="6">
        <v>1.6E-2</v>
      </c>
      <c r="G10" s="6">
        <v>8.9999999999999993E-3</v>
      </c>
      <c r="H10" s="6">
        <v>7.0000000000000001E-3</v>
      </c>
      <c r="I10" s="6">
        <v>0</v>
      </c>
      <c r="J10" s="19">
        <f>A31*A10</f>
        <v>-5.4032000000000011E-2</v>
      </c>
      <c r="K10" s="19">
        <f t="shared" ref="K10:Q10" si="10">B31*B10</f>
        <v>-3.7440000000000001E-2</v>
      </c>
      <c r="L10" s="19">
        <f t="shared" si="10"/>
        <v>-4.3070000000000001E-3</v>
      </c>
      <c r="M10" s="19">
        <f t="shared" si="10"/>
        <v>-2.5080000000000002E-3</v>
      </c>
      <c r="N10" s="19">
        <f t="shared" si="10"/>
        <v>-8.3999999999999993E-4</v>
      </c>
      <c r="O10" s="19">
        <f t="shared" si="10"/>
        <v>-4.64E-4</v>
      </c>
      <c r="P10" s="19">
        <f t="shared" si="10"/>
        <v>-2.2499999999999999E-4</v>
      </c>
      <c r="Q10" s="19">
        <f t="shared" si="10"/>
        <v>-1.1900000000000001E-4</v>
      </c>
      <c r="R10" s="19">
        <f t="shared" si="3"/>
        <v>-9.993500000000001E-2</v>
      </c>
      <c r="S10" s="19">
        <f t="shared" si="4"/>
        <v>1.0999350000000001</v>
      </c>
      <c r="T10" s="8">
        <f t="shared" si="1"/>
        <v>1</v>
      </c>
      <c r="U10" s="16"/>
    </row>
    <row r="11" spans="1:21" x14ac:dyDescent="0.25">
      <c r="A11" s="6">
        <v>0.47399999999999998</v>
      </c>
      <c r="B11" s="6">
        <v>0.21299999999999999</v>
      </c>
      <c r="C11" s="6">
        <v>6.8000000000000005E-2</v>
      </c>
      <c r="D11" s="6">
        <v>6.6000000000000003E-2</v>
      </c>
      <c r="E11" s="6">
        <v>3.9E-2</v>
      </c>
      <c r="F11" s="6">
        <v>2.9000000000000001E-2</v>
      </c>
      <c r="G11" s="6">
        <v>2.1999999999999999E-2</v>
      </c>
      <c r="H11" s="6">
        <v>1.7000000000000001E-2</v>
      </c>
      <c r="I11" s="6">
        <v>0</v>
      </c>
      <c r="J11" s="19">
        <f>A31*A11</f>
        <v>-4.1712000000000006E-2</v>
      </c>
      <c r="K11" s="19">
        <f t="shared" ref="K11:Q11" si="11">B31*B11</f>
        <v>-4.0896000000000002E-2</v>
      </c>
      <c r="L11" s="19">
        <f t="shared" si="11"/>
        <v>-4.9640000000000014E-3</v>
      </c>
      <c r="M11" s="19">
        <f t="shared" si="11"/>
        <v>-5.0160000000000005E-3</v>
      </c>
      <c r="N11" s="19">
        <f t="shared" si="11"/>
        <v>-1.5599999999999998E-3</v>
      </c>
      <c r="O11" s="19">
        <f t="shared" si="11"/>
        <v>-8.4099999999999995E-4</v>
      </c>
      <c r="P11" s="19">
        <f t="shared" si="11"/>
        <v>-5.5000000000000003E-4</v>
      </c>
      <c r="Q11" s="19">
        <f t="shared" si="11"/>
        <v>-2.8900000000000003E-4</v>
      </c>
      <c r="R11" s="19">
        <f t="shared" si="3"/>
        <v>-9.582800000000001E-2</v>
      </c>
      <c r="S11" s="19">
        <f t="shared" si="4"/>
        <v>1.095828</v>
      </c>
      <c r="T11" s="8">
        <f t="shared" si="1"/>
        <v>1</v>
      </c>
      <c r="U11" s="16"/>
    </row>
    <row r="12" spans="1:21" x14ac:dyDescent="0.25">
      <c r="A12" s="6">
        <v>0.41699999999999998</v>
      </c>
      <c r="B12" s="6">
        <v>0.23899999999999999</v>
      </c>
      <c r="C12" s="6">
        <v>6.8000000000000005E-2</v>
      </c>
      <c r="D12" s="6">
        <v>6.2E-2</v>
      </c>
      <c r="E12" s="6">
        <v>3.3000000000000002E-2</v>
      </c>
      <c r="F12" s="6">
        <v>3.1E-2</v>
      </c>
      <c r="G12" s="6">
        <v>2.5999999999999999E-2</v>
      </c>
      <c r="H12" s="6">
        <v>1.7999999999999999E-2</v>
      </c>
      <c r="I12" s="6">
        <v>0</v>
      </c>
      <c r="J12" s="19">
        <f>A31*A12</f>
        <v>-3.6696000000000006E-2</v>
      </c>
      <c r="K12" s="19">
        <f t="shared" ref="K12:Q12" si="12">B31*B12</f>
        <v>-4.5887999999999998E-2</v>
      </c>
      <c r="L12" s="19">
        <f t="shared" si="12"/>
        <v>-4.9640000000000014E-3</v>
      </c>
      <c r="M12" s="19">
        <f t="shared" si="12"/>
        <v>-4.712E-3</v>
      </c>
      <c r="N12" s="19">
        <f t="shared" si="12"/>
        <v>-1.3199999999999998E-3</v>
      </c>
      <c r="O12" s="19">
        <f t="shared" si="12"/>
        <v>-8.9899999999999995E-4</v>
      </c>
      <c r="P12" s="19">
        <f t="shared" si="12"/>
        <v>-6.4999999999999997E-4</v>
      </c>
      <c r="Q12" s="19">
        <f t="shared" si="12"/>
        <v>-3.0600000000000001E-4</v>
      </c>
      <c r="R12" s="19">
        <f t="shared" si="3"/>
        <v>-9.5434999999999992E-2</v>
      </c>
      <c r="S12" s="19">
        <f t="shared" si="4"/>
        <v>1.0954349999999999</v>
      </c>
      <c r="T12" s="8">
        <f t="shared" si="1"/>
        <v>1</v>
      </c>
      <c r="U12" s="16"/>
    </row>
    <row r="13" spans="1:21" x14ac:dyDescent="0.25">
      <c r="A13" s="7">
        <v>0.45400000000000001</v>
      </c>
      <c r="B13" s="7">
        <v>0.17399999999999999</v>
      </c>
      <c r="C13" s="7">
        <v>0.11700000000000001</v>
      </c>
      <c r="D13" s="7">
        <v>0.106</v>
      </c>
      <c r="E13" s="7">
        <v>3.2000000000000001E-2</v>
      </c>
      <c r="F13" s="7">
        <v>2.7E-2</v>
      </c>
      <c r="G13" s="7">
        <v>1.2999999999999999E-2</v>
      </c>
      <c r="H13" s="7">
        <v>0.01</v>
      </c>
      <c r="I13" s="7">
        <v>1</v>
      </c>
      <c r="J13" s="20">
        <f>A31*A13</f>
        <v>-3.9952000000000008E-2</v>
      </c>
      <c r="K13" s="20">
        <f t="shared" ref="K13:Q13" si="13">B31*B13</f>
        <v>-3.3408E-2</v>
      </c>
      <c r="L13" s="20">
        <f t="shared" si="13"/>
        <v>-8.5410000000000017E-3</v>
      </c>
      <c r="M13" s="20">
        <f t="shared" si="13"/>
        <v>-8.0559999999999989E-3</v>
      </c>
      <c r="N13" s="20">
        <f t="shared" si="13"/>
        <v>-1.2799999999999999E-3</v>
      </c>
      <c r="O13" s="20">
        <f t="shared" si="13"/>
        <v>-7.8299999999999995E-4</v>
      </c>
      <c r="P13" s="20">
        <f t="shared" si="13"/>
        <v>-3.2499999999999999E-4</v>
      </c>
      <c r="Q13" s="20">
        <f t="shared" si="13"/>
        <v>-1.7000000000000001E-4</v>
      </c>
      <c r="R13" s="20">
        <f t="shared" si="3"/>
        <v>-9.2515000000000028E-2</v>
      </c>
      <c r="S13" s="20">
        <f>ABS(R13)-1</f>
        <v>-0.90748499999999999</v>
      </c>
      <c r="T13" s="9">
        <f t="shared" si="1"/>
        <v>-1</v>
      </c>
      <c r="U13" s="16"/>
    </row>
    <row r="14" spans="1:21" x14ac:dyDescent="0.25">
      <c r="A14" s="7">
        <v>0.40300000000000002</v>
      </c>
      <c r="B14" s="7">
        <v>0.249</v>
      </c>
      <c r="C14" s="7">
        <v>0.13100000000000001</v>
      </c>
      <c r="D14" s="7">
        <v>4.2000000000000003E-2</v>
      </c>
      <c r="E14" s="7">
        <v>3.2000000000000001E-2</v>
      </c>
      <c r="F14" s="7">
        <v>2.8000000000000001E-2</v>
      </c>
      <c r="G14" s="7">
        <v>2.4E-2</v>
      </c>
      <c r="H14" s="7">
        <v>1.2999999999999999E-2</v>
      </c>
      <c r="I14" s="7">
        <v>1</v>
      </c>
      <c r="J14" s="20">
        <f>A31*A14</f>
        <v>-3.5464000000000009E-2</v>
      </c>
      <c r="K14" s="20">
        <f t="shared" ref="K14:Q14" si="14">B31*B14</f>
        <v>-4.7808000000000003E-2</v>
      </c>
      <c r="L14" s="20">
        <f t="shared" si="14"/>
        <v>-9.5630000000000021E-3</v>
      </c>
      <c r="M14" s="20">
        <f t="shared" si="14"/>
        <v>-3.192E-3</v>
      </c>
      <c r="N14" s="20">
        <f t="shared" si="14"/>
        <v>-1.2799999999999999E-3</v>
      </c>
      <c r="O14" s="20">
        <f t="shared" si="14"/>
        <v>-8.12E-4</v>
      </c>
      <c r="P14" s="20">
        <f t="shared" si="14"/>
        <v>-6.0000000000000006E-4</v>
      </c>
      <c r="Q14" s="20">
        <f t="shared" si="14"/>
        <v>-2.2100000000000001E-4</v>
      </c>
      <c r="R14" s="20">
        <f t="shared" si="3"/>
        <v>-9.8940000000000014E-2</v>
      </c>
      <c r="S14" s="20">
        <f t="shared" ref="S14:S22" si="15">ABS(R14)-1</f>
        <v>-0.90105999999999997</v>
      </c>
      <c r="T14" s="9">
        <f t="shared" si="1"/>
        <v>-1</v>
      </c>
      <c r="U14" s="16"/>
    </row>
    <row r="15" spans="1:21" x14ac:dyDescent="0.25">
      <c r="A15" s="7">
        <v>0.38400000000000001</v>
      </c>
      <c r="B15" s="7">
        <v>0.30099999999999999</v>
      </c>
      <c r="C15" s="7">
        <v>0.13200000000000001</v>
      </c>
      <c r="D15" s="7">
        <v>4.3999999999999997E-2</v>
      </c>
      <c r="E15" s="7">
        <v>2.3E-2</v>
      </c>
      <c r="F15" s="7">
        <v>0.02</v>
      </c>
      <c r="G15" s="7">
        <v>1.7000000000000001E-2</v>
      </c>
      <c r="H15" s="7">
        <v>1.4E-2</v>
      </c>
      <c r="I15" s="7">
        <v>1</v>
      </c>
      <c r="J15" s="20">
        <f>A31*A15</f>
        <v>-3.379200000000001E-2</v>
      </c>
      <c r="K15" s="20">
        <f t="shared" ref="K15:Q15" si="16">B31*B15</f>
        <v>-5.7791999999999996E-2</v>
      </c>
      <c r="L15" s="20">
        <f t="shared" si="16"/>
        <v>-9.6360000000000022E-3</v>
      </c>
      <c r="M15" s="20">
        <f t="shared" si="16"/>
        <v>-3.3439999999999998E-3</v>
      </c>
      <c r="N15" s="20">
        <f t="shared" si="16"/>
        <v>-9.1999999999999981E-4</v>
      </c>
      <c r="O15" s="20">
        <f t="shared" si="16"/>
        <v>-5.8E-4</v>
      </c>
      <c r="P15" s="20">
        <f t="shared" si="16"/>
        <v>-4.2500000000000003E-4</v>
      </c>
      <c r="Q15" s="20">
        <f t="shared" si="16"/>
        <v>-2.3800000000000001E-4</v>
      </c>
      <c r="R15" s="20">
        <f t="shared" si="3"/>
        <v>-0.106727</v>
      </c>
      <c r="S15" s="20">
        <f t="shared" si="15"/>
        <v>-0.89327299999999998</v>
      </c>
      <c r="T15" s="9">
        <f t="shared" si="1"/>
        <v>-1</v>
      </c>
      <c r="U15" s="16"/>
    </row>
    <row r="16" spans="1:21" x14ac:dyDescent="0.25">
      <c r="A16" s="7">
        <v>0.33100000000000002</v>
      </c>
      <c r="B16" s="7">
        <v>0.155</v>
      </c>
      <c r="C16" s="7">
        <v>0.114</v>
      </c>
      <c r="D16" s="7">
        <v>9.4E-2</v>
      </c>
      <c r="E16" s="7">
        <v>6.0999999999999999E-2</v>
      </c>
      <c r="F16" s="7">
        <v>4.4999999999999998E-2</v>
      </c>
      <c r="G16" s="7">
        <v>3.4000000000000002E-2</v>
      </c>
      <c r="H16" s="7">
        <v>2.4E-2</v>
      </c>
      <c r="I16" s="7">
        <v>1</v>
      </c>
      <c r="J16" s="20">
        <f>A31*A16</f>
        <v>-2.9128000000000008E-2</v>
      </c>
      <c r="K16" s="20">
        <f t="shared" ref="K16:Q16" si="17">B31*B16</f>
        <v>-2.9760000000000002E-2</v>
      </c>
      <c r="L16" s="20">
        <f t="shared" si="17"/>
        <v>-8.3220000000000013E-3</v>
      </c>
      <c r="M16" s="20">
        <f t="shared" si="17"/>
        <v>-7.1440000000000002E-3</v>
      </c>
      <c r="N16" s="20">
        <f t="shared" si="17"/>
        <v>-2.4399999999999995E-3</v>
      </c>
      <c r="O16" s="20">
        <f t="shared" si="17"/>
        <v>-1.305E-3</v>
      </c>
      <c r="P16" s="20">
        <f t="shared" si="17"/>
        <v>-8.5000000000000006E-4</v>
      </c>
      <c r="Q16" s="20">
        <f t="shared" si="17"/>
        <v>-4.0800000000000005E-4</v>
      </c>
      <c r="R16" s="20">
        <f t="shared" si="3"/>
        <v>-7.9357000000000011E-2</v>
      </c>
      <c r="S16" s="20">
        <f t="shared" si="15"/>
        <v>-0.92064299999999999</v>
      </c>
      <c r="T16" s="9">
        <f t="shared" si="1"/>
        <v>-1</v>
      </c>
      <c r="U16" s="16"/>
    </row>
    <row r="17" spans="1:21" x14ac:dyDescent="0.25">
      <c r="A17" s="7">
        <v>0.38800000000000001</v>
      </c>
      <c r="B17" s="7">
        <v>0.22</v>
      </c>
      <c r="C17" s="7">
        <v>0.128</v>
      </c>
      <c r="D17" s="7">
        <v>6.5000000000000002E-2</v>
      </c>
      <c r="E17" s="7">
        <v>0.05</v>
      </c>
      <c r="F17" s="7">
        <v>3.1E-2</v>
      </c>
      <c r="G17" s="7">
        <v>2.1999999999999999E-2</v>
      </c>
      <c r="H17" s="7">
        <v>1.6E-2</v>
      </c>
      <c r="I17" s="7">
        <v>1</v>
      </c>
      <c r="J17" s="20">
        <f>A31*A17</f>
        <v>-3.4144000000000008E-2</v>
      </c>
      <c r="K17" s="20">
        <f t="shared" ref="K17:Q17" si="18">B31*B17</f>
        <v>-4.224E-2</v>
      </c>
      <c r="L17" s="20">
        <f t="shared" si="18"/>
        <v>-9.3440000000000016E-3</v>
      </c>
      <c r="M17" s="20">
        <f t="shared" si="18"/>
        <v>-4.9399999999999999E-3</v>
      </c>
      <c r="N17" s="20">
        <f t="shared" si="18"/>
        <v>-1.9999999999999996E-3</v>
      </c>
      <c r="O17" s="20">
        <f t="shared" si="18"/>
        <v>-8.9899999999999995E-4</v>
      </c>
      <c r="P17" s="20">
        <f t="shared" si="18"/>
        <v>-5.5000000000000003E-4</v>
      </c>
      <c r="Q17" s="20">
        <f t="shared" si="18"/>
        <v>-2.7200000000000005E-4</v>
      </c>
      <c r="R17" s="20">
        <f t="shared" si="3"/>
        <v>-9.4389000000000001E-2</v>
      </c>
      <c r="S17" s="20">
        <f t="shared" si="15"/>
        <v>-0.90561099999999994</v>
      </c>
      <c r="T17" s="9">
        <f t="shared" si="1"/>
        <v>-1</v>
      </c>
      <c r="U17" s="16"/>
    </row>
    <row r="18" spans="1:21" x14ac:dyDescent="0.25">
      <c r="A18" s="7">
        <v>0.33100000000000002</v>
      </c>
      <c r="B18" s="7">
        <v>0.16</v>
      </c>
      <c r="C18" s="7">
        <v>0.126</v>
      </c>
      <c r="D18" s="7">
        <v>0.109</v>
      </c>
      <c r="E18" s="7">
        <v>5.1999999999999998E-2</v>
      </c>
      <c r="F18" s="7">
        <v>4.3999999999999997E-2</v>
      </c>
      <c r="G18" s="7">
        <v>3.3000000000000002E-2</v>
      </c>
      <c r="H18" s="7">
        <v>2.4E-2</v>
      </c>
      <c r="I18" s="7">
        <v>1</v>
      </c>
      <c r="J18" s="20">
        <f>A31*A18</f>
        <v>-2.9128000000000008E-2</v>
      </c>
      <c r="K18" s="20">
        <f t="shared" ref="K18:Q18" si="19">B31*B18</f>
        <v>-3.0720000000000001E-2</v>
      </c>
      <c r="L18" s="20">
        <f t="shared" si="19"/>
        <v>-9.1980000000000013E-3</v>
      </c>
      <c r="M18" s="20">
        <f t="shared" si="19"/>
        <v>-8.2839999999999997E-3</v>
      </c>
      <c r="N18" s="20">
        <f t="shared" si="19"/>
        <v>-2.0799999999999994E-3</v>
      </c>
      <c r="O18" s="20">
        <f t="shared" si="19"/>
        <v>-1.2759999999999998E-3</v>
      </c>
      <c r="P18" s="20">
        <f t="shared" si="19"/>
        <v>-8.250000000000001E-4</v>
      </c>
      <c r="Q18" s="20">
        <f t="shared" si="19"/>
        <v>-4.0800000000000005E-4</v>
      </c>
      <c r="R18" s="20">
        <f t="shared" si="3"/>
        <v>-8.191900000000002E-2</v>
      </c>
      <c r="S18" s="20">
        <f t="shared" si="15"/>
        <v>-0.91808099999999992</v>
      </c>
      <c r="T18" s="9">
        <f t="shared" si="1"/>
        <v>-1</v>
      </c>
      <c r="U18" s="16"/>
    </row>
    <row r="19" spans="1:21" x14ac:dyDescent="0.25">
      <c r="A19" s="7">
        <v>0.35299999999999998</v>
      </c>
      <c r="B19" s="7">
        <v>0.32100000000000001</v>
      </c>
      <c r="C19" s="7">
        <v>0.13200000000000001</v>
      </c>
      <c r="D19" s="7">
        <v>6.3E-2</v>
      </c>
      <c r="E19" s="7">
        <v>3.6999999999999998E-2</v>
      </c>
      <c r="F19" s="7">
        <v>1.7000000000000001E-2</v>
      </c>
      <c r="G19" s="7">
        <v>1.4999999999999999E-2</v>
      </c>
      <c r="H19" s="7">
        <v>1.0999999999999999E-2</v>
      </c>
      <c r="I19" s="7">
        <v>1</v>
      </c>
      <c r="J19" s="20">
        <f>A31*A19</f>
        <v>-3.1064000000000005E-2</v>
      </c>
      <c r="K19" s="20">
        <f t="shared" ref="K19:Q19" si="20">B31*B19</f>
        <v>-6.1631999999999999E-2</v>
      </c>
      <c r="L19" s="20">
        <f t="shared" si="20"/>
        <v>-9.6360000000000022E-3</v>
      </c>
      <c r="M19" s="20">
        <f t="shared" si="20"/>
        <v>-4.7879999999999997E-3</v>
      </c>
      <c r="N19" s="20">
        <f t="shared" si="20"/>
        <v>-1.4799999999999998E-3</v>
      </c>
      <c r="O19" s="20">
        <f t="shared" si="20"/>
        <v>-4.9299999999999995E-4</v>
      </c>
      <c r="P19" s="20">
        <f t="shared" si="20"/>
        <v>-3.7500000000000001E-4</v>
      </c>
      <c r="Q19" s="20">
        <f t="shared" si="20"/>
        <v>-1.8699999999999999E-4</v>
      </c>
      <c r="R19" s="20">
        <f t="shared" si="3"/>
        <v>-0.109655</v>
      </c>
      <c r="S19" s="20">
        <f t="shared" si="15"/>
        <v>-0.89034499999999994</v>
      </c>
      <c r="T19" s="9">
        <f t="shared" si="1"/>
        <v>-1</v>
      </c>
      <c r="U19" s="16"/>
    </row>
    <row r="20" spans="1:21" x14ac:dyDescent="0.25">
      <c r="A20" s="7">
        <v>0.5</v>
      </c>
      <c r="B20" s="7">
        <v>0.222</v>
      </c>
      <c r="C20" s="7">
        <v>7.5999999999999998E-2</v>
      </c>
      <c r="D20" s="7">
        <v>5.6000000000000001E-2</v>
      </c>
      <c r="E20" s="7">
        <v>3.6999999999999998E-2</v>
      </c>
      <c r="F20" s="7">
        <v>2.1000000000000001E-2</v>
      </c>
      <c r="G20" s="7">
        <v>1.2999999999999999E-2</v>
      </c>
      <c r="H20" s="7">
        <v>1.2E-2</v>
      </c>
      <c r="I20" s="7">
        <v>1</v>
      </c>
      <c r="J20" s="20">
        <f>A31*A20</f>
        <v>-4.4000000000000011E-2</v>
      </c>
      <c r="K20" s="20">
        <f t="shared" ref="K20:Q20" si="21">B31*B20</f>
        <v>-4.2624000000000002E-2</v>
      </c>
      <c r="L20" s="20">
        <f t="shared" si="21"/>
        <v>-5.5480000000000008E-3</v>
      </c>
      <c r="M20" s="20">
        <f t="shared" si="21"/>
        <v>-4.2560000000000002E-3</v>
      </c>
      <c r="N20" s="20">
        <f t="shared" si="21"/>
        <v>-1.4799999999999998E-3</v>
      </c>
      <c r="O20" s="20">
        <f t="shared" si="21"/>
        <v>-6.0899999999999995E-4</v>
      </c>
      <c r="P20" s="20">
        <f t="shared" si="21"/>
        <v>-3.2499999999999999E-4</v>
      </c>
      <c r="Q20" s="20">
        <f t="shared" si="21"/>
        <v>-2.0400000000000003E-4</v>
      </c>
      <c r="R20" s="20">
        <f t="shared" si="3"/>
        <v>-9.9045999999999995E-2</v>
      </c>
      <c r="S20" s="20">
        <f t="shared" si="15"/>
        <v>-0.90095400000000003</v>
      </c>
      <c r="T20" s="9">
        <f t="shared" si="1"/>
        <v>-1</v>
      </c>
      <c r="U20" s="16"/>
    </row>
    <row r="21" spans="1:21" x14ac:dyDescent="0.25">
      <c r="A21" s="7">
        <v>0.47699999999999998</v>
      </c>
      <c r="B21" s="7">
        <v>0.14299999999999999</v>
      </c>
      <c r="C21" s="7">
        <v>0.12</v>
      </c>
      <c r="D21" s="7">
        <v>6.9000000000000006E-2</v>
      </c>
      <c r="E21" s="7">
        <v>3.6999999999999998E-2</v>
      </c>
      <c r="F21" s="7">
        <v>2.9000000000000001E-2</v>
      </c>
      <c r="G21" s="7">
        <v>1.7000000000000001E-2</v>
      </c>
      <c r="H21" s="7">
        <v>1.6E-2</v>
      </c>
      <c r="I21" s="7">
        <v>1</v>
      </c>
      <c r="J21" s="20">
        <f>A31*A21</f>
        <v>-4.1976000000000006E-2</v>
      </c>
      <c r="K21" s="20">
        <f t="shared" ref="K21:Q21" si="22">B31*B21</f>
        <v>-2.7455999999999998E-2</v>
      </c>
      <c r="L21" s="20">
        <f t="shared" si="22"/>
        <v>-8.7600000000000004E-3</v>
      </c>
      <c r="M21" s="20">
        <f t="shared" si="22"/>
        <v>-5.2440000000000004E-3</v>
      </c>
      <c r="N21" s="20">
        <f t="shared" si="22"/>
        <v>-1.4799999999999998E-3</v>
      </c>
      <c r="O21" s="20">
        <f t="shared" si="22"/>
        <v>-8.4099999999999995E-4</v>
      </c>
      <c r="P21" s="20">
        <f t="shared" si="22"/>
        <v>-4.2500000000000003E-4</v>
      </c>
      <c r="Q21" s="20">
        <f t="shared" si="22"/>
        <v>-2.7200000000000005E-4</v>
      </c>
      <c r="R21" s="20">
        <f t="shared" si="3"/>
        <v>-8.6453999999999989E-2</v>
      </c>
      <c r="S21" s="20">
        <f t="shared" si="15"/>
        <v>-0.91354599999999997</v>
      </c>
      <c r="T21" s="9">
        <f t="shared" si="1"/>
        <v>-1</v>
      </c>
      <c r="U21" s="16"/>
    </row>
    <row r="22" spans="1:21" x14ac:dyDescent="0.25">
      <c r="A22" s="7">
        <v>0.505</v>
      </c>
      <c r="B22" s="7">
        <v>0.19400000000000001</v>
      </c>
      <c r="C22" s="7">
        <v>0.105</v>
      </c>
      <c r="D22" s="7">
        <v>8.3000000000000004E-2</v>
      </c>
      <c r="E22" s="7">
        <v>0.04</v>
      </c>
      <c r="F22" s="7">
        <v>2.1999999999999999E-2</v>
      </c>
      <c r="G22" s="7">
        <v>1.4E-2</v>
      </c>
      <c r="H22" s="7">
        <v>8.0000000000000002E-3</v>
      </c>
      <c r="I22" s="7">
        <v>1</v>
      </c>
      <c r="J22" s="20">
        <f>A31*A22</f>
        <v>-4.4440000000000014E-2</v>
      </c>
      <c r="K22" s="20">
        <f t="shared" ref="K22:Q22" si="23">B31*B22</f>
        <v>-3.7248000000000003E-2</v>
      </c>
      <c r="L22" s="20">
        <f t="shared" si="23"/>
        <v>-7.6650000000000008E-3</v>
      </c>
      <c r="M22" s="20">
        <f t="shared" si="23"/>
        <v>-6.3080000000000002E-3</v>
      </c>
      <c r="N22" s="20">
        <f t="shared" si="23"/>
        <v>-1.5999999999999999E-3</v>
      </c>
      <c r="O22" s="20">
        <f t="shared" si="23"/>
        <v>-6.379999999999999E-4</v>
      </c>
      <c r="P22" s="20">
        <f t="shared" si="23"/>
        <v>-3.5000000000000005E-4</v>
      </c>
      <c r="Q22" s="20">
        <f t="shared" si="23"/>
        <v>-1.3600000000000003E-4</v>
      </c>
      <c r="R22" s="20">
        <f t="shared" si="3"/>
        <v>-9.8385000000000014E-2</v>
      </c>
      <c r="S22" s="20">
        <f t="shared" si="15"/>
        <v>-0.90161499999999994</v>
      </c>
      <c r="T22" s="9">
        <f t="shared" si="1"/>
        <v>-1</v>
      </c>
      <c r="U22" s="16"/>
    </row>
    <row r="23" spans="1:21" x14ac:dyDescent="0.25">
      <c r="J23" s="1"/>
    </row>
    <row r="24" spans="1:21" x14ac:dyDescent="0.25">
      <c r="A24" t="s">
        <v>54</v>
      </c>
      <c r="J24" s="1"/>
    </row>
    <row r="25" spans="1:21" x14ac:dyDescent="0.25">
      <c r="A25" s="12" t="s">
        <v>53</v>
      </c>
      <c r="B25" s="12" t="s">
        <v>46</v>
      </c>
      <c r="C25" s="12" t="s">
        <v>47</v>
      </c>
      <c r="D25" s="12" t="s">
        <v>48</v>
      </c>
      <c r="E25" s="12" t="s">
        <v>49</v>
      </c>
      <c r="F25" s="12" t="s">
        <v>50</v>
      </c>
      <c r="G25" s="12" t="s">
        <v>51</v>
      </c>
      <c r="H25" s="12" t="s">
        <v>52</v>
      </c>
      <c r="I25" s="12" t="s">
        <v>8</v>
      </c>
      <c r="J25" s="1"/>
    </row>
    <row r="26" spans="1:21" x14ac:dyDescent="0.25">
      <c r="A26" s="6">
        <f t="shared" ref="A26:H26" si="24">MIN(A3:A12)</f>
        <v>0.41699999999999998</v>
      </c>
      <c r="B26" s="6">
        <f t="shared" si="24"/>
        <v>0.129</v>
      </c>
      <c r="C26" s="6">
        <f t="shared" si="24"/>
        <v>5.8999999999999997E-2</v>
      </c>
      <c r="D26" s="6">
        <f t="shared" si="24"/>
        <v>3.3000000000000002E-2</v>
      </c>
      <c r="E26" s="6">
        <f t="shared" si="24"/>
        <v>2.1000000000000001E-2</v>
      </c>
      <c r="F26" s="6">
        <f t="shared" si="24"/>
        <v>1.6E-2</v>
      </c>
      <c r="G26" s="6">
        <f t="shared" si="24"/>
        <v>8.9999999999999993E-3</v>
      </c>
      <c r="H26" s="6">
        <f t="shared" si="24"/>
        <v>7.0000000000000001E-3</v>
      </c>
      <c r="I26" s="6">
        <v>0</v>
      </c>
      <c r="J26" s="1"/>
    </row>
    <row r="27" spans="1:21" x14ac:dyDescent="0.25">
      <c r="A27" s="7">
        <f t="shared" ref="A27:H27" si="25">MAX(A13:A22)</f>
        <v>0.505</v>
      </c>
      <c r="B27" s="7">
        <f t="shared" si="25"/>
        <v>0.32100000000000001</v>
      </c>
      <c r="C27" s="7">
        <f t="shared" si="25"/>
        <v>0.13200000000000001</v>
      </c>
      <c r="D27" s="7">
        <f t="shared" si="25"/>
        <v>0.109</v>
      </c>
      <c r="E27" s="7">
        <f t="shared" si="25"/>
        <v>6.0999999999999999E-2</v>
      </c>
      <c r="F27" s="7">
        <f t="shared" si="25"/>
        <v>4.4999999999999998E-2</v>
      </c>
      <c r="G27" s="7">
        <f t="shared" si="25"/>
        <v>3.4000000000000002E-2</v>
      </c>
      <c r="H27" s="7">
        <f t="shared" si="25"/>
        <v>2.4E-2</v>
      </c>
      <c r="I27" s="7">
        <v>1</v>
      </c>
      <c r="J27" s="1"/>
    </row>
    <row r="28" spans="1:21" x14ac:dyDescent="0.25">
      <c r="J28" s="1"/>
    </row>
    <row r="29" spans="1:21" x14ac:dyDescent="0.25">
      <c r="A29" t="s">
        <v>55</v>
      </c>
    </row>
    <row r="30" spans="1:21" x14ac:dyDescent="0.25">
      <c r="A30" s="4" t="s">
        <v>27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13"/>
      <c r="J30" s="11"/>
      <c r="K30" s="11"/>
      <c r="L30" s="11"/>
      <c r="M30" s="11"/>
      <c r="N30" s="11"/>
      <c r="O30" s="11"/>
      <c r="P30" s="11"/>
      <c r="Q30" s="13"/>
    </row>
    <row r="31" spans="1:21" x14ac:dyDescent="0.25">
      <c r="A31" s="2">
        <f>SUM(A26-A27)</f>
        <v>-8.8000000000000023E-2</v>
      </c>
      <c r="B31" s="2">
        <f t="shared" ref="B31:H31" si="26">SUM(B26-B27)</f>
        <v>-0.192</v>
      </c>
      <c r="C31" s="2">
        <f t="shared" si="26"/>
        <v>-7.3000000000000009E-2</v>
      </c>
      <c r="D31" s="2">
        <f t="shared" si="26"/>
        <v>-7.5999999999999998E-2</v>
      </c>
      <c r="E31" s="2">
        <f t="shared" si="26"/>
        <v>-3.9999999999999994E-2</v>
      </c>
      <c r="F31" s="2">
        <f t="shared" si="26"/>
        <v>-2.8999999999999998E-2</v>
      </c>
      <c r="G31" s="2">
        <f t="shared" si="26"/>
        <v>-2.5000000000000001E-2</v>
      </c>
      <c r="H31" s="2">
        <f t="shared" si="26"/>
        <v>-1.7000000000000001E-2</v>
      </c>
    </row>
    <row r="32" spans="1:21" x14ac:dyDescent="0.25">
      <c r="J32" s="1"/>
    </row>
    <row r="33" spans="1:22" x14ac:dyDescent="0.25">
      <c r="A33" t="s">
        <v>26</v>
      </c>
      <c r="B33" s="1"/>
      <c r="J33" s="1"/>
    </row>
    <row r="34" spans="1:22" x14ac:dyDescent="0.25">
      <c r="A34" s="18" t="s">
        <v>0</v>
      </c>
      <c r="B34" s="18" t="s">
        <v>1</v>
      </c>
      <c r="C34" s="18" t="s">
        <v>2</v>
      </c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7</v>
      </c>
      <c r="I34" s="18" t="s">
        <v>8</v>
      </c>
      <c r="J34" s="10" t="s">
        <v>38</v>
      </c>
      <c r="K34" s="17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  <c r="P34" s="10" t="s">
        <v>44</v>
      </c>
      <c r="Q34" s="10" t="s">
        <v>45</v>
      </c>
      <c r="R34" s="10" t="s">
        <v>56</v>
      </c>
      <c r="S34" s="10" t="s">
        <v>58</v>
      </c>
      <c r="T34" s="10" t="s">
        <v>36</v>
      </c>
      <c r="U34" s="10" t="s">
        <v>37</v>
      </c>
      <c r="V34" s="10" t="s">
        <v>57</v>
      </c>
    </row>
    <row r="35" spans="1:22" x14ac:dyDescent="0.25">
      <c r="A35" s="2">
        <v>0.41599999999999998</v>
      </c>
      <c r="B35" s="2">
        <v>0.26400000000000001</v>
      </c>
      <c r="C35" s="2">
        <v>0.106</v>
      </c>
      <c r="D35" s="2">
        <v>6.6000000000000003E-2</v>
      </c>
      <c r="E35" s="2">
        <v>4.3999999999999997E-2</v>
      </c>
      <c r="F35" s="2">
        <v>2.8000000000000001E-2</v>
      </c>
      <c r="G35" s="2">
        <v>1.6E-2</v>
      </c>
      <c r="H35" s="2">
        <v>8.9999999999999993E-3</v>
      </c>
      <c r="I35" s="3">
        <v>0</v>
      </c>
      <c r="J35" s="21">
        <f t="shared" ref="J35:Q35" si="27">A31*A35</f>
        <v>-3.6608000000000009E-2</v>
      </c>
      <c r="K35" s="21">
        <f t="shared" si="27"/>
        <v>-5.0688000000000004E-2</v>
      </c>
      <c r="L35" s="21">
        <f t="shared" si="27"/>
        <v>-7.738000000000001E-3</v>
      </c>
      <c r="M35" s="21">
        <f t="shared" si="27"/>
        <v>-5.0160000000000005E-3</v>
      </c>
      <c r="N35" s="21">
        <f t="shared" si="27"/>
        <v>-1.7599999999999996E-3</v>
      </c>
      <c r="O35" s="21">
        <f t="shared" si="27"/>
        <v>-8.12E-4</v>
      </c>
      <c r="P35" s="21">
        <f t="shared" si="27"/>
        <v>-4.0000000000000002E-4</v>
      </c>
      <c r="Q35" s="21">
        <f t="shared" si="27"/>
        <v>-1.5300000000000001E-4</v>
      </c>
      <c r="R35" s="2">
        <f>SUM(J35:Q35)</f>
        <v>-0.103175</v>
      </c>
      <c r="S35" s="2">
        <f>MEDIAN(S3:S22)</f>
        <v>9.7355999999999998E-2</v>
      </c>
      <c r="T35" s="22">
        <v>1</v>
      </c>
      <c r="U35" s="22">
        <f>SUM(R35+S35+T35)</f>
        <v>0.99418099999999998</v>
      </c>
      <c r="V35" s="2">
        <f>IF(U35&gt;0,0,1)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hog_30lv_svm</vt:lpstr>
      <vt:lpstr>hog_20lv_svm</vt:lpstr>
      <vt:lpstr>hog_10lv_svm</vt:lpstr>
      <vt:lpstr>slic_30lv_svm</vt:lpstr>
      <vt:lpstr>slic_20lv_svm</vt:lpstr>
      <vt:lpstr>slic_10lv_svm</vt:lpstr>
      <vt:lpstr>pca_30lv_svm</vt:lpstr>
      <vt:lpstr>pca_20lv_svm</vt:lpstr>
      <vt:lpstr>pca_10lv_svm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Windows_10</cp:lastModifiedBy>
  <dcterms:created xsi:type="dcterms:W3CDTF">2025-10-23T15:15:50Z</dcterms:created>
  <dcterms:modified xsi:type="dcterms:W3CDTF">2025-11-01T20:37:09Z</dcterms:modified>
</cp:coreProperties>
</file>