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3.13\tugasAkhir\t5-adnarim\"/>
    </mc:Choice>
  </mc:AlternateContent>
  <xr:revisionPtr revIDLastSave="0" documentId="13_ncr:1_{5B61602A-3CF2-49F2-A5BF-C72EB26C4EFB}" xr6:coauthVersionLast="47" xr6:coauthVersionMax="47" xr10:uidLastSave="{00000000-0000-0000-0000-000000000000}"/>
  <bookViews>
    <workbookView xWindow="-120" yWindow="-120" windowWidth="20730" windowHeight="11760" tabRatio="818" activeTab="8" xr2:uid="{665327A6-4BDD-4A31-B8B1-07556BD55C94}"/>
  </bookViews>
  <sheets>
    <sheet name="hog_30lv_knn" sheetId="2" r:id="rId1"/>
    <sheet name="hog_20lv_knn" sheetId="3" r:id="rId2"/>
    <sheet name="hog_10lv_knn" sheetId="4" r:id="rId3"/>
    <sheet name="slic_30lv_knn" sheetId="5" r:id="rId4"/>
    <sheet name="slic_20lv_knn" sheetId="6" r:id="rId5"/>
    <sheet name="slic_10lv_knn" sheetId="7" r:id="rId6"/>
    <sheet name="pca_30lv_knn" sheetId="8" r:id="rId7"/>
    <sheet name="pca_20lv_knn" sheetId="9" r:id="rId8"/>
    <sheet name="pca_10lv_knn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2" i="3" l="1"/>
  <c r="P22" i="3"/>
  <c r="O22" i="3"/>
  <c r="N22" i="3"/>
  <c r="M22" i="3"/>
  <c r="L22" i="3"/>
  <c r="K22" i="3"/>
  <c r="J22" i="3"/>
  <c r="R22" i="3" s="1"/>
  <c r="S22" i="3" s="1"/>
  <c r="Q21" i="3"/>
  <c r="P21" i="3"/>
  <c r="O21" i="3"/>
  <c r="N21" i="3"/>
  <c r="M21" i="3"/>
  <c r="L21" i="3"/>
  <c r="K21" i="3"/>
  <c r="J21" i="3"/>
  <c r="R21" i="3" s="1"/>
  <c r="S21" i="3" s="1"/>
  <c r="Q20" i="3"/>
  <c r="P20" i="3"/>
  <c r="O20" i="3"/>
  <c r="N20" i="3"/>
  <c r="M20" i="3"/>
  <c r="L20" i="3"/>
  <c r="K20" i="3"/>
  <c r="J20" i="3"/>
  <c r="R20" i="3" s="1"/>
  <c r="S20" i="3" s="1"/>
  <c r="Q19" i="3"/>
  <c r="P19" i="3"/>
  <c r="O19" i="3"/>
  <c r="N19" i="3"/>
  <c r="M19" i="3"/>
  <c r="L19" i="3"/>
  <c r="K19" i="3"/>
  <c r="J19" i="3"/>
  <c r="R19" i="3" s="1"/>
  <c r="S19" i="3" s="1"/>
  <c r="Q18" i="3"/>
  <c r="P18" i="3"/>
  <c r="O18" i="3"/>
  <c r="N18" i="3"/>
  <c r="M18" i="3"/>
  <c r="L18" i="3"/>
  <c r="K18" i="3"/>
  <c r="J18" i="3"/>
  <c r="R18" i="3" s="1"/>
  <c r="S18" i="3" s="1"/>
  <c r="Q17" i="3"/>
  <c r="P17" i="3"/>
  <c r="O17" i="3"/>
  <c r="N17" i="3"/>
  <c r="M17" i="3"/>
  <c r="L17" i="3"/>
  <c r="K17" i="3"/>
  <c r="J17" i="3"/>
  <c r="R17" i="3" s="1"/>
  <c r="S17" i="3" s="1"/>
  <c r="Q16" i="3"/>
  <c r="P16" i="3"/>
  <c r="O16" i="3"/>
  <c r="N16" i="3"/>
  <c r="M16" i="3"/>
  <c r="L16" i="3"/>
  <c r="K16" i="3"/>
  <c r="J16" i="3"/>
  <c r="R16" i="3" s="1"/>
  <c r="S16" i="3" s="1"/>
  <c r="Q15" i="3"/>
  <c r="P15" i="3"/>
  <c r="O15" i="3"/>
  <c r="N15" i="3"/>
  <c r="M15" i="3"/>
  <c r="L15" i="3"/>
  <c r="K15" i="3"/>
  <c r="J15" i="3"/>
  <c r="R15" i="3" s="1"/>
  <c r="S15" i="3" s="1"/>
  <c r="Q14" i="3"/>
  <c r="P14" i="3"/>
  <c r="O14" i="3"/>
  <c r="N14" i="3"/>
  <c r="M14" i="3"/>
  <c r="L14" i="3"/>
  <c r="K14" i="3"/>
  <c r="J14" i="3"/>
  <c r="R14" i="3" s="1"/>
  <c r="S14" i="3" s="1"/>
  <c r="Q13" i="3"/>
  <c r="P13" i="3"/>
  <c r="O13" i="3"/>
  <c r="N13" i="3"/>
  <c r="M13" i="3"/>
  <c r="L13" i="3"/>
  <c r="K13" i="3"/>
  <c r="J13" i="3"/>
  <c r="R13" i="3" s="1"/>
  <c r="S13" i="3" s="1"/>
  <c r="Q12" i="3"/>
  <c r="P12" i="3"/>
  <c r="O12" i="3"/>
  <c r="N12" i="3"/>
  <c r="M12" i="3"/>
  <c r="L12" i="3"/>
  <c r="K12" i="3"/>
  <c r="J12" i="3"/>
  <c r="R12" i="3" s="1"/>
  <c r="S12" i="3" s="1"/>
  <c r="Q11" i="3"/>
  <c r="P11" i="3"/>
  <c r="O11" i="3"/>
  <c r="N11" i="3"/>
  <c r="M11" i="3"/>
  <c r="L11" i="3"/>
  <c r="K11" i="3"/>
  <c r="J11" i="3"/>
  <c r="R11" i="3" s="1"/>
  <c r="S11" i="3" s="1"/>
  <c r="Q10" i="3"/>
  <c r="P10" i="3"/>
  <c r="O10" i="3"/>
  <c r="N10" i="3"/>
  <c r="M10" i="3"/>
  <c r="L10" i="3"/>
  <c r="K10" i="3"/>
  <c r="J10" i="3"/>
  <c r="R10" i="3" s="1"/>
  <c r="S10" i="3" s="1"/>
  <c r="Q9" i="3"/>
  <c r="P9" i="3"/>
  <c r="O9" i="3"/>
  <c r="N9" i="3"/>
  <c r="M9" i="3"/>
  <c r="L9" i="3"/>
  <c r="K9" i="3"/>
  <c r="J9" i="3"/>
  <c r="R9" i="3" s="1"/>
  <c r="S9" i="3" s="1"/>
  <c r="Q8" i="3"/>
  <c r="P8" i="3"/>
  <c r="O8" i="3"/>
  <c r="N8" i="3"/>
  <c r="M8" i="3"/>
  <c r="L8" i="3"/>
  <c r="K8" i="3"/>
  <c r="J8" i="3"/>
  <c r="R8" i="3" s="1"/>
  <c r="S8" i="3" s="1"/>
  <c r="Q7" i="3"/>
  <c r="P7" i="3"/>
  <c r="O7" i="3"/>
  <c r="N7" i="3"/>
  <c r="M7" i="3"/>
  <c r="L7" i="3"/>
  <c r="K7" i="3"/>
  <c r="J7" i="3"/>
  <c r="R7" i="3" s="1"/>
  <c r="S7" i="3" s="1"/>
  <c r="Q6" i="3"/>
  <c r="P6" i="3"/>
  <c r="O6" i="3"/>
  <c r="N6" i="3"/>
  <c r="M6" i="3"/>
  <c r="L6" i="3"/>
  <c r="K6" i="3"/>
  <c r="J6" i="3"/>
  <c r="R6" i="3" s="1"/>
  <c r="S6" i="3" s="1"/>
  <c r="Q5" i="3"/>
  <c r="P5" i="3"/>
  <c r="O5" i="3"/>
  <c r="N5" i="3"/>
  <c r="M5" i="3"/>
  <c r="L5" i="3"/>
  <c r="K5" i="3"/>
  <c r="J5" i="3"/>
  <c r="R5" i="3" s="1"/>
  <c r="S5" i="3" s="1"/>
  <c r="Q4" i="3"/>
  <c r="P4" i="3"/>
  <c r="O4" i="3"/>
  <c r="N4" i="3"/>
  <c r="M4" i="3"/>
  <c r="L4" i="3"/>
  <c r="K4" i="3"/>
  <c r="J4" i="3"/>
  <c r="R4" i="3" s="1"/>
  <c r="S4" i="3" s="1"/>
  <c r="Q3" i="3"/>
  <c r="P3" i="3"/>
  <c r="O3" i="3"/>
  <c r="N3" i="3"/>
  <c r="M3" i="3"/>
  <c r="L3" i="3"/>
  <c r="K3" i="3"/>
  <c r="J3" i="3"/>
  <c r="R3" i="3" s="1"/>
  <c r="S3" i="3" s="1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Q32" i="3"/>
  <c r="P32" i="3"/>
  <c r="O32" i="3"/>
  <c r="N32" i="3"/>
  <c r="M32" i="3"/>
  <c r="L32" i="3"/>
  <c r="K32" i="3"/>
  <c r="J32" i="3"/>
  <c r="R32" i="3" s="1"/>
  <c r="S32" i="3" s="1"/>
  <c r="Q31" i="3"/>
  <c r="P31" i="3"/>
  <c r="O31" i="3"/>
  <c r="N31" i="3"/>
  <c r="M31" i="3"/>
  <c r="L31" i="3"/>
  <c r="K31" i="3"/>
  <c r="J31" i="3"/>
  <c r="R31" i="3" s="1"/>
  <c r="S31" i="3" s="1"/>
  <c r="J3" i="2"/>
  <c r="K3" i="2"/>
  <c r="L3" i="2"/>
  <c r="M3" i="2"/>
  <c r="N3" i="2"/>
  <c r="O3" i="2"/>
  <c r="P3" i="2"/>
  <c r="Q3" i="2"/>
  <c r="J4" i="2"/>
  <c r="K4" i="2"/>
  <c r="R4" i="2" s="1"/>
  <c r="S4" i="2" s="1"/>
  <c r="L4" i="2"/>
  <c r="M4" i="2"/>
  <c r="N4" i="2"/>
  <c r="O4" i="2"/>
  <c r="P4" i="2"/>
  <c r="Q4" i="2"/>
  <c r="J5" i="2"/>
  <c r="K5" i="2"/>
  <c r="L5" i="2"/>
  <c r="M5" i="2"/>
  <c r="N5" i="2"/>
  <c r="O5" i="2"/>
  <c r="P5" i="2"/>
  <c r="Q5" i="2"/>
  <c r="J6" i="2"/>
  <c r="K6" i="2"/>
  <c r="L6" i="2"/>
  <c r="M6" i="2"/>
  <c r="N6" i="2"/>
  <c r="O6" i="2"/>
  <c r="P6" i="2"/>
  <c r="Q6" i="2"/>
  <c r="R6" i="2"/>
  <c r="S6" i="2" s="1"/>
  <c r="J7" i="2"/>
  <c r="K7" i="2"/>
  <c r="L7" i="2"/>
  <c r="M7" i="2"/>
  <c r="N7" i="2"/>
  <c r="O7" i="2"/>
  <c r="P7" i="2"/>
  <c r="Q7" i="2"/>
  <c r="J8" i="2"/>
  <c r="K8" i="2"/>
  <c r="R8" i="2" s="1"/>
  <c r="S8" i="2" s="1"/>
  <c r="L8" i="2"/>
  <c r="M8" i="2"/>
  <c r="N8" i="2"/>
  <c r="O8" i="2"/>
  <c r="P8" i="2"/>
  <c r="Q8" i="2"/>
  <c r="J9" i="2"/>
  <c r="K9" i="2"/>
  <c r="L9" i="2"/>
  <c r="M9" i="2"/>
  <c r="N9" i="2"/>
  <c r="O9" i="2"/>
  <c r="P9" i="2"/>
  <c r="Q9" i="2"/>
  <c r="J10" i="2"/>
  <c r="K10" i="2"/>
  <c r="L10" i="2"/>
  <c r="M10" i="2"/>
  <c r="N10" i="2"/>
  <c r="O10" i="2"/>
  <c r="P10" i="2"/>
  <c r="Q10" i="2"/>
  <c r="R10" i="2"/>
  <c r="S10" i="2" s="1"/>
  <c r="J11" i="2"/>
  <c r="K11" i="2"/>
  <c r="L11" i="2"/>
  <c r="M11" i="2"/>
  <c r="N11" i="2"/>
  <c r="O11" i="2"/>
  <c r="P11" i="2"/>
  <c r="Q11" i="2"/>
  <c r="J12" i="2"/>
  <c r="K12" i="2"/>
  <c r="L12" i="2"/>
  <c r="M12" i="2"/>
  <c r="N12" i="2"/>
  <c r="O12" i="2"/>
  <c r="P12" i="2"/>
  <c r="Q12" i="2"/>
  <c r="R12" i="2"/>
  <c r="S12" i="2" s="1"/>
  <c r="J13" i="2"/>
  <c r="K13" i="2"/>
  <c r="L13" i="2"/>
  <c r="M13" i="2"/>
  <c r="N13" i="2"/>
  <c r="O13" i="2"/>
  <c r="P13" i="2"/>
  <c r="Q13" i="2"/>
  <c r="J14" i="2"/>
  <c r="K14" i="2"/>
  <c r="R14" i="2" s="1"/>
  <c r="S14" i="2" s="1"/>
  <c r="L14" i="2"/>
  <c r="M14" i="2"/>
  <c r="N14" i="2"/>
  <c r="O14" i="2"/>
  <c r="P14" i="2"/>
  <c r="Q14" i="2"/>
  <c r="J15" i="2"/>
  <c r="K15" i="2"/>
  <c r="L15" i="2"/>
  <c r="M15" i="2"/>
  <c r="N15" i="2"/>
  <c r="O15" i="2"/>
  <c r="P15" i="2"/>
  <c r="Q15" i="2"/>
  <c r="J16" i="2"/>
  <c r="K16" i="2"/>
  <c r="L16" i="2"/>
  <c r="M16" i="2"/>
  <c r="N16" i="2"/>
  <c r="O16" i="2"/>
  <c r="P16" i="2"/>
  <c r="Q16" i="2"/>
  <c r="R16" i="2"/>
  <c r="S16" i="2" s="1"/>
  <c r="J17" i="2"/>
  <c r="K17" i="2"/>
  <c r="L17" i="2"/>
  <c r="M17" i="2"/>
  <c r="N17" i="2"/>
  <c r="O17" i="2"/>
  <c r="P17" i="2"/>
  <c r="Q17" i="2"/>
  <c r="J18" i="2"/>
  <c r="K18" i="2"/>
  <c r="R18" i="2" s="1"/>
  <c r="S18" i="2" s="1"/>
  <c r="L18" i="2"/>
  <c r="M18" i="2"/>
  <c r="N18" i="2"/>
  <c r="O18" i="2"/>
  <c r="P18" i="2"/>
  <c r="Q18" i="2"/>
  <c r="J19" i="2"/>
  <c r="K19" i="2"/>
  <c r="L19" i="2"/>
  <c r="M19" i="2"/>
  <c r="N19" i="2"/>
  <c r="O19" i="2"/>
  <c r="P19" i="2"/>
  <c r="Q19" i="2"/>
  <c r="J20" i="2"/>
  <c r="K20" i="2"/>
  <c r="L20" i="2"/>
  <c r="M20" i="2"/>
  <c r="N20" i="2"/>
  <c r="O20" i="2"/>
  <c r="P20" i="2"/>
  <c r="Q20" i="2"/>
  <c r="R20" i="2"/>
  <c r="S20" i="2" s="1"/>
  <c r="J21" i="2"/>
  <c r="K21" i="2"/>
  <c r="L21" i="2"/>
  <c r="M21" i="2"/>
  <c r="N21" i="2"/>
  <c r="O21" i="2"/>
  <c r="P21" i="2"/>
  <c r="Q21" i="2"/>
  <c r="J22" i="2"/>
  <c r="K22" i="2"/>
  <c r="R22" i="2" s="1"/>
  <c r="S22" i="2" s="1"/>
  <c r="L22" i="2"/>
  <c r="M22" i="2"/>
  <c r="N22" i="2"/>
  <c r="O22" i="2"/>
  <c r="P22" i="2"/>
  <c r="Q22" i="2"/>
  <c r="J23" i="2"/>
  <c r="K23" i="2"/>
  <c r="L23" i="2"/>
  <c r="M23" i="2"/>
  <c r="N23" i="2"/>
  <c r="O23" i="2"/>
  <c r="P23" i="2"/>
  <c r="Q23" i="2"/>
  <c r="J24" i="2"/>
  <c r="K24" i="2"/>
  <c r="L24" i="2"/>
  <c r="M24" i="2"/>
  <c r="N24" i="2"/>
  <c r="O24" i="2"/>
  <c r="P24" i="2"/>
  <c r="Q24" i="2"/>
  <c r="R24" i="2"/>
  <c r="S24" i="2" s="1"/>
  <c r="J25" i="2"/>
  <c r="K25" i="2"/>
  <c r="L25" i="2"/>
  <c r="M25" i="2"/>
  <c r="N25" i="2"/>
  <c r="O25" i="2"/>
  <c r="P25" i="2"/>
  <c r="Q25" i="2"/>
  <c r="J26" i="2"/>
  <c r="K26" i="2"/>
  <c r="R26" i="2" s="1"/>
  <c r="S26" i="2" s="1"/>
  <c r="L26" i="2"/>
  <c r="M26" i="2"/>
  <c r="N26" i="2"/>
  <c r="O26" i="2"/>
  <c r="P26" i="2"/>
  <c r="Q26" i="2"/>
  <c r="J27" i="2"/>
  <c r="K27" i="2"/>
  <c r="L27" i="2"/>
  <c r="M27" i="2"/>
  <c r="N27" i="2"/>
  <c r="O27" i="2"/>
  <c r="P27" i="2"/>
  <c r="Q27" i="2"/>
  <c r="J28" i="2"/>
  <c r="K28" i="2"/>
  <c r="L28" i="2"/>
  <c r="M28" i="2"/>
  <c r="N28" i="2"/>
  <c r="O28" i="2"/>
  <c r="P28" i="2"/>
  <c r="Q28" i="2"/>
  <c r="R28" i="2"/>
  <c r="S28" i="2" s="1"/>
  <c r="J29" i="2"/>
  <c r="K29" i="2"/>
  <c r="L29" i="2"/>
  <c r="M29" i="2"/>
  <c r="N29" i="2"/>
  <c r="O29" i="2"/>
  <c r="P29" i="2"/>
  <c r="Q29" i="2"/>
  <c r="J30" i="2"/>
  <c r="K30" i="2"/>
  <c r="R30" i="2" s="1"/>
  <c r="S30" i="2" s="1"/>
  <c r="L30" i="2"/>
  <c r="M30" i="2"/>
  <c r="N30" i="2"/>
  <c r="O30" i="2"/>
  <c r="P30" i="2"/>
  <c r="Q30" i="2"/>
  <c r="J31" i="2"/>
  <c r="K31" i="2"/>
  <c r="L31" i="2"/>
  <c r="M31" i="2"/>
  <c r="N31" i="2"/>
  <c r="O31" i="2"/>
  <c r="P31" i="2"/>
  <c r="Q31" i="2"/>
  <c r="J32" i="2"/>
  <c r="K32" i="2"/>
  <c r="L32" i="2"/>
  <c r="M32" i="2"/>
  <c r="N32" i="2"/>
  <c r="O32" i="2"/>
  <c r="P32" i="2"/>
  <c r="Q32" i="2"/>
  <c r="R32" i="2"/>
  <c r="S32" i="2" s="1"/>
  <c r="J33" i="2"/>
  <c r="K33" i="2"/>
  <c r="L33" i="2"/>
  <c r="M33" i="2"/>
  <c r="N33" i="2"/>
  <c r="O33" i="2"/>
  <c r="P33" i="2"/>
  <c r="Q33" i="2"/>
  <c r="J34" i="2"/>
  <c r="K34" i="2"/>
  <c r="R34" i="2" s="1"/>
  <c r="S34" i="2" s="1"/>
  <c r="L34" i="2"/>
  <c r="M34" i="2"/>
  <c r="N34" i="2"/>
  <c r="O34" i="2"/>
  <c r="P34" i="2"/>
  <c r="Q34" i="2"/>
  <c r="J35" i="2"/>
  <c r="K35" i="2"/>
  <c r="L35" i="2"/>
  <c r="M35" i="2"/>
  <c r="N35" i="2"/>
  <c r="O35" i="2"/>
  <c r="P35" i="2"/>
  <c r="Q35" i="2"/>
  <c r="J36" i="2"/>
  <c r="K36" i="2"/>
  <c r="L36" i="2"/>
  <c r="M36" i="2"/>
  <c r="N36" i="2"/>
  <c r="O36" i="2"/>
  <c r="P36" i="2"/>
  <c r="Q36" i="2"/>
  <c r="R36" i="2"/>
  <c r="S36" i="2" s="1"/>
  <c r="J37" i="2"/>
  <c r="K37" i="2"/>
  <c r="L37" i="2"/>
  <c r="M37" i="2"/>
  <c r="N37" i="2"/>
  <c r="O37" i="2"/>
  <c r="P37" i="2"/>
  <c r="Q37" i="2"/>
  <c r="J38" i="2"/>
  <c r="K38" i="2"/>
  <c r="R38" i="2" s="1"/>
  <c r="S38" i="2" s="1"/>
  <c r="L38" i="2"/>
  <c r="M38" i="2"/>
  <c r="N38" i="2"/>
  <c r="O38" i="2"/>
  <c r="P38" i="2"/>
  <c r="Q38" i="2"/>
  <c r="J39" i="2"/>
  <c r="K39" i="2"/>
  <c r="L39" i="2"/>
  <c r="M39" i="2"/>
  <c r="N39" i="2"/>
  <c r="O39" i="2"/>
  <c r="P39" i="2"/>
  <c r="Q39" i="2"/>
  <c r="J40" i="2"/>
  <c r="K40" i="2"/>
  <c r="L40" i="2"/>
  <c r="M40" i="2"/>
  <c r="N40" i="2"/>
  <c r="O40" i="2"/>
  <c r="P40" i="2"/>
  <c r="Q40" i="2"/>
  <c r="R40" i="2"/>
  <c r="S40" i="2" s="1"/>
  <c r="J41" i="2"/>
  <c r="K41" i="2"/>
  <c r="L41" i="2"/>
  <c r="M41" i="2"/>
  <c r="N41" i="2"/>
  <c r="O41" i="2"/>
  <c r="P41" i="2"/>
  <c r="Q41" i="2"/>
  <c r="J42" i="2"/>
  <c r="K42" i="2"/>
  <c r="R42" i="2" s="1"/>
  <c r="S42" i="2" s="1"/>
  <c r="L42" i="2"/>
  <c r="M42" i="2"/>
  <c r="N42" i="2"/>
  <c r="O42" i="2"/>
  <c r="P42" i="2"/>
  <c r="Q42" i="2"/>
  <c r="Q42" i="10"/>
  <c r="P42" i="10"/>
  <c r="O42" i="10"/>
  <c r="N42" i="10"/>
  <c r="M42" i="10"/>
  <c r="L42" i="10"/>
  <c r="K42" i="10"/>
  <c r="J42" i="10"/>
  <c r="Q41" i="10"/>
  <c r="P41" i="10"/>
  <c r="O41" i="10"/>
  <c r="N41" i="10"/>
  <c r="M41" i="10"/>
  <c r="L41" i="10"/>
  <c r="K41" i="10"/>
  <c r="J41" i="10"/>
  <c r="Q40" i="10"/>
  <c r="P40" i="10"/>
  <c r="O40" i="10"/>
  <c r="N40" i="10"/>
  <c r="M40" i="10"/>
  <c r="L40" i="10"/>
  <c r="K40" i="10"/>
  <c r="J40" i="10"/>
  <c r="Q39" i="10"/>
  <c r="P39" i="10"/>
  <c r="O39" i="10"/>
  <c r="N39" i="10"/>
  <c r="M39" i="10"/>
  <c r="L39" i="10"/>
  <c r="K39" i="10"/>
  <c r="J39" i="10"/>
  <c r="Q38" i="10"/>
  <c r="P38" i="10"/>
  <c r="O38" i="10"/>
  <c r="N38" i="10"/>
  <c r="M38" i="10"/>
  <c r="L38" i="10"/>
  <c r="K38" i="10"/>
  <c r="J38" i="10"/>
  <c r="Q37" i="10"/>
  <c r="P37" i="10"/>
  <c r="O37" i="10"/>
  <c r="N37" i="10"/>
  <c r="M37" i="10"/>
  <c r="L37" i="10"/>
  <c r="K37" i="10"/>
  <c r="J37" i="10"/>
  <c r="Q36" i="10"/>
  <c r="P36" i="10"/>
  <c r="O36" i="10"/>
  <c r="N36" i="10"/>
  <c r="M36" i="10"/>
  <c r="L36" i="10"/>
  <c r="K36" i="10"/>
  <c r="J36" i="10"/>
  <c r="Q35" i="10"/>
  <c r="P35" i="10"/>
  <c r="O35" i="10"/>
  <c r="N35" i="10"/>
  <c r="M35" i="10"/>
  <c r="L35" i="10"/>
  <c r="K35" i="10"/>
  <c r="J35" i="10"/>
  <c r="Q34" i="10"/>
  <c r="P34" i="10"/>
  <c r="O34" i="10"/>
  <c r="N34" i="10"/>
  <c r="M34" i="10"/>
  <c r="L34" i="10"/>
  <c r="K34" i="10"/>
  <c r="J34" i="10"/>
  <c r="Q33" i="10"/>
  <c r="P33" i="10"/>
  <c r="O33" i="10"/>
  <c r="N33" i="10"/>
  <c r="M33" i="10"/>
  <c r="L33" i="10"/>
  <c r="K33" i="10"/>
  <c r="J33" i="10"/>
  <c r="Q32" i="10"/>
  <c r="P32" i="10"/>
  <c r="O32" i="10"/>
  <c r="N32" i="10"/>
  <c r="M32" i="10"/>
  <c r="L32" i="10"/>
  <c r="K32" i="10"/>
  <c r="J32" i="10"/>
  <c r="Q31" i="10"/>
  <c r="P31" i="10"/>
  <c r="O31" i="10"/>
  <c r="N31" i="10"/>
  <c r="M31" i="10"/>
  <c r="L31" i="10"/>
  <c r="K31" i="10"/>
  <c r="J31" i="10"/>
  <c r="Q30" i="10"/>
  <c r="P30" i="10"/>
  <c r="O30" i="10"/>
  <c r="N30" i="10"/>
  <c r="M30" i="10"/>
  <c r="L30" i="10"/>
  <c r="K30" i="10"/>
  <c r="J30" i="10"/>
  <c r="Q29" i="10"/>
  <c r="P29" i="10"/>
  <c r="O29" i="10"/>
  <c r="N29" i="10"/>
  <c r="M29" i="10"/>
  <c r="L29" i="10"/>
  <c r="K29" i="10"/>
  <c r="J29" i="10"/>
  <c r="Q28" i="10"/>
  <c r="P28" i="10"/>
  <c r="O28" i="10"/>
  <c r="N28" i="10"/>
  <c r="M28" i="10"/>
  <c r="L28" i="10"/>
  <c r="K28" i="10"/>
  <c r="J28" i="10"/>
  <c r="Q27" i="10"/>
  <c r="P27" i="10"/>
  <c r="O27" i="10"/>
  <c r="N27" i="10"/>
  <c r="M27" i="10"/>
  <c r="L27" i="10"/>
  <c r="K27" i="10"/>
  <c r="J27" i="10"/>
  <c r="Q26" i="10"/>
  <c r="P26" i="10"/>
  <c r="O26" i="10"/>
  <c r="N26" i="10"/>
  <c r="M26" i="10"/>
  <c r="L26" i="10"/>
  <c r="K26" i="10"/>
  <c r="J26" i="10"/>
  <c r="Q25" i="10"/>
  <c r="P25" i="10"/>
  <c r="O25" i="10"/>
  <c r="N25" i="10"/>
  <c r="M25" i="10"/>
  <c r="L25" i="10"/>
  <c r="K25" i="10"/>
  <c r="J25" i="10"/>
  <c r="Q24" i="10"/>
  <c r="P24" i="10"/>
  <c r="O24" i="10"/>
  <c r="N24" i="10"/>
  <c r="M24" i="10"/>
  <c r="L24" i="10"/>
  <c r="K24" i="10"/>
  <c r="J24" i="10"/>
  <c r="Q23" i="10"/>
  <c r="P23" i="10"/>
  <c r="O23" i="10"/>
  <c r="N23" i="10"/>
  <c r="M23" i="10"/>
  <c r="L23" i="10"/>
  <c r="K23" i="10"/>
  <c r="J23" i="10"/>
  <c r="Q22" i="10"/>
  <c r="P22" i="10"/>
  <c r="O22" i="10"/>
  <c r="N22" i="10"/>
  <c r="M22" i="10"/>
  <c r="L22" i="10"/>
  <c r="K22" i="10"/>
  <c r="J22" i="10"/>
  <c r="Q21" i="10"/>
  <c r="P21" i="10"/>
  <c r="O21" i="10"/>
  <c r="N21" i="10"/>
  <c r="M21" i="10"/>
  <c r="L21" i="10"/>
  <c r="K21" i="10"/>
  <c r="J21" i="10"/>
  <c r="Q20" i="10"/>
  <c r="P20" i="10"/>
  <c r="O20" i="10"/>
  <c r="N20" i="10"/>
  <c r="M20" i="10"/>
  <c r="L20" i="10"/>
  <c r="K20" i="10"/>
  <c r="J20" i="10"/>
  <c r="Q19" i="10"/>
  <c r="P19" i="10"/>
  <c r="O19" i="10"/>
  <c r="N19" i="10"/>
  <c r="M19" i="10"/>
  <c r="L19" i="10"/>
  <c r="K19" i="10"/>
  <c r="J19" i="10"/>
  <c r="R19" i="10" s="1"/>
  <c r="S19" i="10" s="1"/>
  <c r="Q18" i="10"/>
  <c r="P18" i="10"/>
  <c r="O18" i="10"/>
  <c r="N18" i="10"/>
  <c r="M18" i="10"/>
  <c r="L18" i="10"/>
  <c r="K18" i="10"/>
  <c r="J18" i="10"/>
  <c r="R18" i="10" s="1"/>
  <c r="S18" i="10" s="1"/>
  <c r="Q17" i="10"/>
  <c r="P17" i="10"/>
  <c r="O17" i="10"/>
  <c r="N17" i="10"/>
  <c r="M17" i="10"/>
  <c r="L17" i="10"/>
  <c r="K17" i="10"/>
  <c r="J17" i="10"/>
  <c r="R17" i="10" s="1"/>
  <c r="S17" i="10" s="1"/>
  <c r="Q16" i="10"/>
  <c r="P16" i="10"/>
  <c r="O16" i="10"/>
  <c r="N16" i="10"/>
  <c r="M16" i="10"/>
  <c r="L16" i="10"/>
  <c r="K16" i="10"/>
  <c r="J16" i="10"/>
  <c r="R16" i="10" s="1"/>
  <c r="S16" i="10" s="1"/>
  <c r="Q15" i="10"/>
  <c r="P15" i="10"/>
  <c r="O15" i="10"/>
  <c r="N15" i="10"/>
  <c r="M15" i="10"/>
  <c r="L15" i="10"/>
  <c r="K15" i="10"/>
  <c r="J15" i="10"/>
  <c r="R15" i="10" s="1"/>
  <c r="S15" i="10" s="1"/>
  <c r="Q14" i="10"/>
  <c r="P14" i="10"/>
  <c r="O14" i="10"/>
  <c r="N14" i="10"/>
  <c r="M14" i="10"/>
  <c r="L14" i="10"/>
  <c r="K14" i="10"/>
  <c r="J14" i="10"/>
  <c r="R14" i="10" s="1"/>
  <c r="S14" i="10" s="1"/>
  <c r="Q13" i="10"/>
  <c r="P13" i="10"/>
  <c r="O13" i="10"/>
  <c r="N13" i="10"/>
  <c r="M13" i="10"/>
  <c r="L13" i="10"/>
  <c r="K13" i="10"/>
  <c r="J13" i="10"/>
  <c r="R13" i="10" s="1"/>
  <c r="S13" i="10" s="1"/>
  <c r="Q12" i="10"/>
  <c r="P12" i="10"/>
  <c r="O12" i="10"/>
  <c r="N12" i="10"/>
  <c r="M12" i="10"/>
  <c r="L12" i="10"/>
  <c r="K12" i="10"/>
  <c r="J12" i="10"/>
  <c r="R12" i="10" s="1"/>
  <c r="S12" i="10" s="1"/>
  <c r="Q11" i="10"/>
  <c r="P11" i="10"/>
  <c r="O11" i="10"/>
  <c r="N11" i="10"/>
  <c r="M11" i="10"/>
  <c r="L11" i="10"/>
  <c r="K11" i="10"/>
  <c r="J11" i="10"/>
  <c r="R11" i="10" s="1"/>
  <c r="S11" i="10" s="1"/>
  <c r="Q10" i="10"/>
  <c r="P10" i="10"/>
  <c r="O10" i="10"/>
  <c r="N10" i="10"/>
  <c r="M10" i="10"/>
  <c r="L10" i="10"/>
  <c r="K10" i="10"/>
  <c r="J10" i="10"/>
  <c r="R10" i="10" s="1"/>
  <c r="S10" i="10" s="1"/>
  <c r="Q9" i="10"/>
  <c r="P9" i="10"/>
  <c r="O9" i="10"/>
  <c r="N9" i="10"/>
  <c r="M9" i="10"/>
  <c r="L9" i="10"/>
  <c r="K9" i="10"/>
  <c r="J9" i="10"/>
  <c r="R9" i="10" s="1"/>
  <c r="S9" i="10" s="1"/>
  <c r="Q8" i="10"/>
  <c r="P8" i="10"/>
  <c r="O8" i="10"/>
  <c r="N8" i="10"/>
  <c r="M8" i="10"/>
  <c r="L8" i="10"/>
  <c r="K8" i="10"/>
  <c r="J8" i="10"/>
  <c r="R8" i="10" s="1"/>
  <c r="S8" i="10" s="1"/>
  <c r="Q7" i="10"/>
  <c r="P7" i="10"/>
  <c r="O7" i="10"/>
  <c r="N7" i="10"/>
  <c r="M7" i="10"/>
  <c r="L7" i="10"/>
  <c r="K7" i="10"/>
  <c r="J7" i="10"/>
  <c r="R7" i="10" s="1"/>
  <c r="S7" i="10" s="1"/>
  <c r="Q6" i="10"/>
  <c r="P6" i="10"/>
  <c r="O6" i="10"/>
  <c r="N6" i="10"/>
  <c r="M6" i="10"/>
  <c r="L6" i="10"/>
  <c r="K6" i="10"/>
  <c r="J6" i="10"/>
  <c r="R6" i="10" s="1"/>
  <c r="S6" i="10" s="1"/>
  <c r="Q5" i="10"/>
  <c r="P5" i="10"/>
  <c r="O5" i="10"/>
  <c r="N5" i="10"/>
  <c r="M5" i="10"/>
  <c r="L5" i="10"/>
  <c r="K5" i="10"/>
  <c r="J5" i="10"/>
  <c r="R5" i="10" s="1"/>
  <c r="S5" i="10" s="1"/>
  <c r="Q4" i="10"/>
  <c r="P4" i="10"/>
  <c r="O4" i="10"/>
  <c r="N4" i="10"/>
  <c r="M4" i="10"/>
  <c r="L4" i="10"/>
  <c r="K4" i="10"/>
  <c r="J4" i="10"/>
  <c r="R4" i="10" s="1"/>
  <c r="S4" i="10" s="1"/>
  <c r="Q3" i="10"/>
  <c r="P3" i="10"/>
  <c r="O3" i="10"/>
  <c r="N3" i="10"/>
  <c r="M3" i="10"/>
  <c r="L3" i="10"/>
  <c r="K3" i="10"/>
  <c r="J3" i="10"/>
  <c r="R3" i="10" s="1"/>
  <c r="S3" i="10" s="1"/>
  <c r="Q42" i="9"/>
  <c r="P42" i="9"/>
  <c r="O42" i="9"/>
  <c r="N42" i="9"/>
  <c r="M42" i="9"/>
  <c r="L42" i="9"/>
  <c r="K42" i="9"/>
  <c r="J42" i="9"/>
  <c r="R42" i="9" s="1"/>
  <c r="S42" i="9" s="1"/>
  <c r="Q41" i="9"/>
  <c r="P41" i="9"/>
  <c r="O41" i="9"/>
  <c r="N41" i="9"/>
  <c r="M41" i="9"/>
  <c r="L41" i="9"/>
  <c r="K41" i="9"/>
  <c r="J41" i="9"/>
  <c r="R41" i="9" s="1"/>
  <c r="S41" i="9" s="1"/>
  <c r="Q40" i="9"/>
  <c r="P40" i="9"/>
  <c r="O40" i="9"/>
  <c r="N40" i="9"/>
  <c r="M40" i="9"/>
  <c r="L40" i="9"/>
  <c r="K40" i="9"/>
  <c r="J40" i="9"/>
  <c r="R40" i="9" s="1"/>
  <c r="S40" i="9" s="1"/>
  <c r="Q39" i="9"/>
  <c r="P39" i="9"/>
  <c r="O39" i="9"/>
  <c r="N39" i="9"/>
  <c r="M39" i="9"/>
  <c r="L39" i="9"/>
  <c r="K39" i="9"/>
  <c r="J39" i="9"/>
  <c r="R39" i="9" s="1"/>
  <c r="S39" i="9" s="1"/>
  <c r="Q38" i="9"/>
  <c r="P38" i="9"/>
  <c r="O38" i="9"/>
  <c r="N38" i="9"/>
  <c r="M38" i="9"/>
  <c r="L38" i="9"/>
  <c r="K38" i="9"/>
  <c r="J38" i="9"/>
  <c r="R38" i="9" s="1"/>
  <c r="S38" i="9" s="1"/>
  <c r="Q37" i="9"/>
  <c r="P37" i="9"/>
  <c r="O37" i="9"/>
  <c r="N37" i="9"/>
  <c r="M37" i="9"/>
  <c r="L37" i="9"/>
  <c r="K37" i="9"/>
  <c r="J37" i="9"/>
  <c r="R37" i="9" s="1"/>
  <c r="S37" i="9" s="1"/>
  <c r="Q36" i="9"/>
  <c r="P36" i="9"/>
  <c r="O36" i="9"/>
  <c r="N36" i="9"/>
  <c r="M36" i="9"/>
  <c r="L36" i="9"/>
  <c r="K36" i="9"/>
  <c r="J36" i="9"/>
  <c r="R36" i="9" s="1"/>
  <c r="S36" i="9" s="1"/>
  <c r="Q35" i="9"/>
  <c r="P35" i="9"/>
  <c r="O35" i="9"/>
  <c r="N35" i="9"/>
  <c r="M35" i="9"/>
  <c r="L35" i="9"/>
  <c r="K35" i="9"/>
  <c r="J35" i="9"/>
  <c r="R35" i="9" s="1"/>
  <c r="S35" i="9" s="1"/>
  <c r="Q34" i="9"/>
  <c r="P34" i="9"/>
  <c r="O34" i="9"/>
  <c r="N34" i="9"/>
  <c r="M34" i="9"/>
  <c r="L34" i="9"/>
  <c r="K34" i="9"/>
  <c r="J34" i="9"/>
  <c r="R34" i="9" s="1"/>
  <c r="S34" i="9" s="1"/>
  <c r="Q33" i="9"/>
  <c r="P33" i="9"/>
  <c r="O33" i="9"/>
  <c r="N33" i="9"/>
  <c r="M33" i="9"/>
  <c r="L33" i="9"/>
  <c r="K33" i="9"/>
  <c r="J33" i="9"/>
  <c r="R33" i="9" s="1"/>
  <c r="S33" i="9" s="1"/>
  <c r="Q32" i="9"/>
  <c r="P32" i="9"/>
  <c r="O32" i="9"/>
  <c r="N32" i="9"/>
  <c r="M32" i="9"/>
  <c r="L32" i="9"/>
  <c r="K32" i="9"/>
  <c r="J32" i="9"/>
  <c r="Q31" i="9"/>
  <c r="P31" i="9"/>
  <c r="O31" i="9"/>
  <c r="N31" i="9"/>
  <c r="M31" i="9"/>
  <c r="L31" i="9"/>
  <c r="K31" i="9"/>
  <c r="J31" i="9"/>
  <c r="Q30" i="9"/>
  <c r="P30" i="9"/>
  <c r="O30" i="9"/>
  <c r="N30" i="9"/>
  <c r="M30" i="9"/>
  <c r="L30" i="9"/>
  <c r="K30" i="9"/>
  <c r="J30" i="9"/>
  <c r="Q29" i="9"/>
  <c r="P29" i="9"/>
  <c r="O29" i="9"/>
  <c r="N29" i="9"/>
  <c r="M29" i="9"/>
  <c r="L29" i="9"/>
  <c r="K29" i="9"/>
  <c r="J29" i="9"/>
  <c r="Q28" i="9"/>
  <c r="P28" i="9"/>
  <c r="O28" i="9"/>
  <c r="N28" i="9"/>
  <c r="M28" i="9"/>
  <c r="L28" i="9"/>
  <c r="K28" i="9"/>
  <c r="J28" i="9"/>
  <c r="Q27" i="9"/>
  <c r="P27" i="9"/>
  <c r="O27" i="9"/>
  <c r="N27" i="9"/>
  <c r="M27" i="9"/>
  <c r="L27" i="9"/>
  <c r="K27" i="9"/>
  <c r="J27" i="9"/>
  <c r="Q26" i="9"/>
  <c r="P26" i="9"/>
  <c r="O26" i="9"/>
  <c r="N26" i="9"/>
  <c r="M26" i="9"/>
  <c r="L26" i="9"/>
  <c r="K26" i="9"/>
  <c r="J26" i="9"/>
  <c r="Q25" i="9"/>
  <c r="P25" i="9"/>
  <c r="O25" i="9"/>
  <c r="N25" i="9"/>
  <c r="M25" i="9"/>
  <c r="L25" i="9"/>
  <c r="K25" i="9"/>
  <c r="J25" i="9"/>
  <c r="Q24" i="9"/>
  <c r="P24" i="9"/>
  <c r="O24" i="9"/>
  <c r="N24" i="9"/>
  <c r="M24" i="9"/>
  <c r="L24" i="9"/>
  <c r="K24" i="9"/>
  <c r="J24" i="9"/>
  <c r="Q23" i="9"/>
  <c r="P23" i="9"/>
  <c r="O23" i="9"/>
  <c r="N23" i="9"/>
  <c r="M23" i="9"/>
  <c r="L23" i="9"/>
  <c r="K23" i="9"/>
  <c r="J23" i="9"/>
  <c r="Q22" i="9"/>
  <c r="P22" i="9"/>
  <c r="O22" i="9"/>
  <c r="N22" i="9"/>
  <c r="M22" i="9"/>
  <c r="L22" i="9"/>
  <c r="K22" i="9"/>
  <c r="J22" i="9"/>
  <c r="Q21" i="9"/>
  <c r="P21" i="9"/>
  <c r="O21" i="9"/>
  <c r="N21" i="9"/>
  <c r="M21" i="9"/>
  <c r="L21" i="9"/>
  <c r="K21" i="9"/>
  <c r="J21" i="9"/>
  <c r="Q20" i="9"/>
  <c r="P20" i="9"/>
  <c r="O20" i="9"/>
  <c r="N20" i="9"/>
  <c r="M20" i="9"/>
  <c r="L20" i="9"/>
  <c r="K20" i="9"/>
  <c r="J20" i="9"/>
  <c r="Q19" i="9"/>
  <c r="P19" i="9"/>
  <c r="O19" i="9"/>
  <c r="N19" i="9"/>
  <c r="M19" i="9"/>
  <c r="L19" i="9"/>
  <c r="K19" i="9"/>
  <c r="J19" i="9"/>
  <c r="Q18" i="9"/>
  <c r="P18" i="9"/>
  <c r="O18" i="9"/>
  <c r="N18" i="9"/>
  <c r="M18" i="9"/>
  <c r="L18" i="9"/>
  <c r="K18" i="9"/>
  <c r="J18" i="9"/>
  <c r="Q17" i="9"/>
  <c r="P17" i="9"/>
  <c r="O17" i="9"/>
  <c r="N17" i="9"/>
  <c r="M17" i="9"/>
  <c r="L17" i="9"/>
  <c r="K17" i="9"/>
  <c r="J17" i="9"/>
  <c r="Q16" i="9"/>
  <c r="P16" i="9"/>
  <c r="O16" i="9"/>
  <c r="N16" i="9"/>
  <c r="M16" i="9"/>
  <c r="L16" i="9"/>
  <c r="K16" i="9"/>
  <c r="J16" i="9"/>
  <c r="Q15" i="9"/>
  <c r="P15" i="9"/>
  <c r="O15" i="9"/>
  <c r="N15" i="9"/>
  <c r="M15" i="9"/>
  <c r="L15" i="9"/>
  <c r="K15" i="9"/>
  <c r="J15" i="9"/>
  <c r="Q14" i="9"/>
  <c r="P14" i="9"/>
  <c r="O14" i="9"/>
  <c r="N14" i="9"/>
  <c r="M14" i="9"/>
  <c r="L14" i="9"/>
  <c r="K14" i="9"/>
  <c r="J14" i="9"/>
  <c r="Q13" i="9"/>
  <c r="P13" i="9"/>
  <c r="O13" i="9"/>
  <c r="N13" i="9"/>
  <c r="M13" i="9"/>
  <c r="L13" i="9"/>
  <c r="K13" i="9"/>
  <c r="J13" i="9"/>
  <c r="Q12" i="9"/>
  <c r="P12" i="9"/>
  <c r="O12" i="9"/>
  <c r="N12" i="9"/>
  <c r="M12" i="9"/>
  <c r="L12" i="9"/>
  <c r="K12" i="9"/>
  <c r="J12" i="9"/>
  <c r="Q11" i="9"/>
  <c r="P11" i="9"/>
  <c r="O11" i="9"/>
  <c r="N11" i="9"/>
  <c r="M11" i="9"/>
  <c r="L11" i="9"/>
  <c r="K11" i="9"/>
  <c r="J11" i="9"/>
  <c r="Q10" i="9"/>
  <c r="P10" i="9"/>
  <c r="O10" i="9"/>
  <c r="N10" i="9"/>
  <c r="M10" i="9"/>
  <c r="L10" i="9"/>
  <c r="K10" i="9"/>
  <c r="J10" i="9"/>
  <c r="Q9" i="9"/>
  <c r="P9" i="9"/>
  <c r="O9" i="9"/>
  <c r="N9" i="9"/>
  <c r="M9" i="9"/>
  <c r="L9" i="9"/>
  <c r="K9" i="9"/>
  <c r="J9" i="9"/>
  <c r="Q8" i="9"/>
  <c r="P8" i="9"/>
  <c r="O8" i="9"/>
  <c r="N8" i="9"/>
  <c r="M8" i="9"/>
  <c r="L8" i="9"/>
  <c r="K8" i="9"/>
  <c r="J8" i="9"/>
  <c r="Q7" i="9"/>
  <c r="P7" i="9"/>
  <c r="O7" i="9"/>
  <c r="N7" i="9"/>
  <c r="M7" i="9"/>
  <c r="L7" i="9"/>
  <c r="K7" i="9"/>
  <c r="J7" i="9"/>
  <c r="Q6" i="9"/>
  <c r="P6" i="9"/>
  <c r="O6" i="9"/>
  <c r="N6" i="9"/>
  <c r="M6" i="9"/>
  <c r="L6" i="9"/>
  <c r="K6" i="9"/>
  <c r="J6" i="9"/>
  <c r="Q5" i="9"/>
  <c r="P5" i="9"/>
  <c r="O5" i="9"/>
  <c r="N5" i="9"/>
  <c r="M5" i="9"/>
  <c r="L5" i="9"/>
  <c r="K5" i="9"/>
  <c r="J5" i="9"/>
  <c r="Q4" i="9"/>
  <c r="P4" i="9"/>
  <c r="O4" i="9"/>
  <c r="N4" i="9"/>
  <c r="M4" i="9"/>
  <c r="L4" i="9"/>
  <c r="K4" i="9"/>
  <c r="J4" i="9"/>
  <c r="Q3" i="9"/>
  <c r="P3" i="9"/>
  <c r="O3" i="9"/>
  <c r="N3" i="9"/>
  <c r="M3" i="9"/>
  <c r="L3" i="9"/>
  <c r="K3" i="9"/>
  <c r="J3" i="9"/>
  <c r="Q42" i="8"/>
  <c r="P42" i="8"/>
  <c r="O42" i="8"/>
  <c r="N42" i="8"/>
  <c r="M42" i="8"/>
  <c r="L42" i="8"/>
  <c r="K42" i="8"/>
  <c r="J42" i="8"/>
  <c r="Q41" i="8"/>
  <c r="P41" i="8"/>
  <c r="O41" i="8"/>
  <c r="N41" i="8"/>
  <c r="M41" i="8"/>
  <c r="L41" i="8"/>
  <c r="K41" i="8"/>
  <c r="J41" i="8"/>
  <c r="Q40" i="8"/>
  <c r="P40" i="8"/>
  <c r="O40" i="8"/>
  <c r="N40" i="8"/>
  <c r="M40" i="8"/>
  <c r="L40" i="8"/>
  <c r="K40" i="8"/>
  <c r="J40" i="8"/>
  <c r="Q39" i="8"/>
  <c r="P39" i="8"/>
  <c r="O39" i="8"/>
  <c r="N39" i="8"/>
  <c r="M39" i="8"/>
  <c r="L39" i="8"/>
  <c r="K39" i="8"/>
  <c r="J39" i="8"/>
  <c r="Q38" i="8"/>
  <c r="P38" i="8"/>
  <c r="O38" i="8"/>
  <c r="N38" i="8"/>
  <c r="M38" i="8"/>
  <c r="L38" i="8"/>
  <c r="K38" i="8"/>
  <c r="J38" i="8"/>
  <c r="Q37" i="8"/>
  <c r="P37" i="8"/>
  <c r="O37" i="8"/>
  <c r="N37" i="8"/>
  <c r="M37" i="8"/>
  <c r="L37" i="8"/>
  <c r="K37" i="8"/>
  <c r="J37" i="8"/>
  <c r="Q36" i="8"/>
  <c r="P36" i="8"/>
  <c r="O36" i="8"/>
  <c r="N36" i="8"/>
  <c r="M36" i="8"/>
  <c r="L36" i="8"/>
  <c r="K36" i="8"/>
  <c r="J36" i="8"/>
  <c r="Q35" i="8"/>
  <c r="P35" i="8"/>
  <c r="O35" i="8"/>
  <c r="N35" i="8"/>
  <c r="M35" i="8"/>
  <c r="L35" i="8"/>
  <c r="K35" i="8"/>
  <c r="J35" i="8"/>
  <c r="Q34" i="8"/>
  <c r="P34" i="8"/>
  <c r="O34" i="8"/>
  <c r="N34" i="8"/>
  <c r="M34" i="8"/>
  <c r="L34" i="8"/>
  <c r="K34" i="8"/>
  <c r="J34" i="8"/>
  <c r="Q33" i="8"/>
  <c r="P33" i="8"/>
  <c r="O33" i="8"/>
  <c r="N33" i="8"/>
  <c r="M33" i="8"/>
  <c r="L33" i="8"/>
  <c r="K33" i="8"/>
  <c r="J33" i="8"/>
  <c r="Q32" i="8"/>
  <c r="P32" i="8"/>
  <c r="O32" i="8"/>
  <c r="N32" i="8"/>
  <c r="M32" i="8"/>
  <c r="L32" i="8"/>
  <c r="K32" i="8"/>
  <c r="J32" i="8"/>
  <c r="Q31" i="8"/>
  <c r="P31" i="8"/>
  <c r="O31" i="8"/>
  <c r="N31" i="8"/>
  <c r="M31" i="8"/>
  <c r="L31" i="8"/>
  <c r="K31" i="8"/>
  <c r="J31" i="8"/>
  <c r="Q30" i="8"/>
  <c r="P30" i="8"/>
  <c r="O30" i="8"/>
  <c r="N30" i="8"/>
  <c r="M30" i="8"/>
  <c r="L30" i="8"/>
  <c r="K30" i="8"/>
  <c r="J30" i="8"/>
  <c r="Q29" i="8"/>
  <c r="P29" i="8"/>
  <c r="O29" i="8"/>
  <c r="N29" i="8"/>
  <c r="M29" i="8"/>
  <c r="L29" i="8"/>
  <c r="K29" i="8"/>
  <c r="J29" i="8"/>
  <c r="Q28" i="8"/>
  <c r="P28" i="8"/>
  <c r="O28" i="8"/>
  <c r="N28" i="8"/>
  <c r="M28" i="8"/>
  <c r="L28" i="8"/>
  <c r="K28" i="8"/>
  <c r="J28" i="8"/>
  <c r="Q27" i="8"/>
  <c r="P27" i="8"/>
  <c r="O27" i="8"/>
  <c r="N27" i="8"/>
  <c r="M27" i="8"/>
  <c r="L27" i="8"/>
  <c r="K27" i="8"/>
  <c r="J27" i="8"/>
  <c r="Q26" i="8"/>
  <c r="P26" i="8"/>
  <c r="O26" i="8"/>
  <c r="N26" i="8"/>
  <c r="M26" i="8"/>
  <c r="L26" i="8"/>
  <c r="K26" i="8"/>
  <c r="J26" i="8"/>
  <c r="Q25" i="8"/>
  <c r="P25" i="8"/>
  <c r="O25" i="8"/>
  <c r="N25" i="8"/>
  <c r="M25" i="8"/>
  <c r="L25" i="8"/>
  <c r="K25" i="8"/>
  <c r="J25" i="8"/>
  <c r="Q24" i="8"/>
  <c r="P24" i="8"/>
  <c r="O24" i="8"/>
  <c r="N24" i="8"/>
  <c r="M24" i="8"/>
  <c r="L24" i="8"/>
  <c r="K24" i="8"/>
  <c r="J24" i="8"/>
  <c r="Q23" i="8"/>
  <c r="P23" i="8"/>
  <c r="O23" i="8"/>
  <c r="N23" i="8"/>
  <c r="M23" i="8"/>
  <c r="L23" i="8"/>
  <c r="K23" i="8"/>
  <c r="J23" i="8"/>
  <c r="Q22" i="8"/>
  <c r="P22" i="8"/>
  <c r="O22" i="8"/>
  <c r="N22" i="8"/>
  <c r="M22" i="8"/>
  <c r="L22" i="8"/>
  <c r="K22" i="8"/>
  <c r="J22" i="8"/>
  <c r="Q21" i="8"/>
  <c r="P21" i="8"/>
  <c r="O21" i="8"/>
  <c r="N21" i="8"/>
  <c r="M21" i="8"/>
  <c r="L21" i="8"/>
  <c r="K21" i="8"/>
  <c r="J21" i="8"/>
  <c r="Q20" i="8"/>
  <c r="P20" i="8"/>
  <c r="O20" i="8"/>
  <c r="N20" i="8"/>
  <c r="M20" i="8"/>
  <c r="L20" i="8"/>
  <c r="K20" i="8"/>
  <c r="J20" i="8"/>
  <c r="Q19" i="8"/>
  <c r="P19" i="8"/>
  <c r="O19" i="8"/>
  <c r="N19" i="8"/>
  <c r="M19" i="8"/>
  <c r="L19" i="8"/>
  <c r="K19" i="8"/>
  <c r="J19" i="8"/>
  <c r="Q18" i="8"/>
  <c r="P18" i="8"/>
  <c r="O18" i="8"/>
  <c r="N18" i="8"/>
  <c r="M18" i="8"/>
  <c r="L18" i="8"/>
  <c r="K18" i="8"/>
  <c r="J18" i="8"/>
  <c r="Q17" i="8"/>
  <c r="P17" i="8"/>
  <c r="O17" i="8"/>
  <c r="N17" i="8"/>
  <c r="M17" i="8"/>
  <c r="L17" i="8"/>
  <c r="K17" i="8"/>
  <c r="J17" i="8"/>
  <c r="Q16" i="8"/>
  <c r="P16" i="8"/>
  <c r="O16" i="8"/>
  <c r="N16" i="8"/>
  <c r="M16" i="8"/>
  <c r="L16" i="8"/>
  <c r="K16" i="8"/>
  <c r="J16" i="8"/>
  <c r="Q15" i="8"/>
  <c r="P15" i="8"/>
  <c r="O15" i="8"/>
  <c r="N15" i="8"/>
  <c r="M15" i="8"/>
  <c r="L15" i="8"/>
  <c r="K15" i="8"/>
  <c r="J15" i="8"/>
  <c r="Q14" i="8"/>
  <c r="P14" i="8"/>
  <c r="O14" i="8"/>
  <c r="N14" i="8"/>
  <c r="M14" i="8"/>
  <c r="L14" i="8"/>
  <c r="K14" i="8"/>
  <c r="J14" i="8"/>
  <c r="Q13" i="8"/>
  <c r="P13" i="8"/>
  <c r="O13" i="8"/>
  <c r="N13" i="8"/>
  <c r="M13" i="8"/>
  <c r="L13" i="8"/>
  <c r="K13" i="8"/>
  <c r="J13" i="8"/>
  <c r="Q12" i="8"/>
  <c r="P12" i="8"/>
  <c r="O12" i="8"/>
  <c r="N12" i="8"/>
  <c r="M12" i="8"/>
  <c r="L12" i="8"/>
  <c r="K12" i="8"/>
  <c r="J12" i="8"/>
  <c r="Q11" i="8"/>
  <c r="P11" i="8"/>
  <c r="O11" i="8"/>
  <c r="N11" i="8"/>
  <c r="M11" i="8"/>
  <c r="L11" i="8"/>
  <c r="K11" i="8"/>
  <c r="J11" i="8"/>
  <c r="R11" i="8" s="1"/>
  <c r="S11" i="8" s="1"/>
  <c r="Q10" i="8"/>
  <c r="P10" i="8"/>
  <c r="O10" i="8"/>
  <c r="N10" i="8"/>
  <c r="M10" i="8"/>
  <c r="L10" i="8"/>
  <c r="K10" i="8"/>
  <c r="J10" i="8"/>
  <c r="R10" i="8" s="1"/>
  <c r="S10" i="8" s="1"/>
  <c r="Q9" i="8"/>
  <c r="P9" i="8"/>
  <c r="O9" i="8"/>
  <c r="N9" i="8"/>
  <c r="M9" i="8"/>
  <c r="L9" i="8"/>
  <c r="K9" i="8"/>
  <c r="J9" i="8"/>
  <c r="R9" i="8" s="1"/>
  <c r="S9" i="8" s="1"/>
  <c r="Q8" i="8"/>
  <c r="P8" i="8"/>
  <c r="O8" i="8"/>
  <c r="N8" i="8"/>
  <c r="M8" i="8"/>
  <c r="L8" i="8"/>
  <c r="K8" i="8"/>
  <c r="J8" i="8"/>
  <c r="R8" i="8" s="1"/>
  <c r="S8" i="8" s="1"/>
  <c r="Q7" i="8"/>
  <c r="P7" i="8"/>
  <c r="O7" i="8"/>
  <c r="N7" i="8"/>
  <c r="M7" i="8"/>
  <c r="L7" i="8"/>
  <c r="K7" i="8"/>
  <c r="J7" i="8"/>
  <c r="R7" i="8" s="1"/>
  <c r="S7" i="8" s="1"/>
  <c r="Q6" i="8"/>
  <c r="P6" i="8"/>
  <c r="O6" i="8"/>
  <c r="N6" i="8"/>
  <c r="M6" i="8"/>
  <c r="L6" i="8"/>
  <c r="K6" i="8"/>
  <c r="J6" i="8"/>
  <c r="R6" i="8" s="1"/>
  <c r="S6" i="8" s="1"/>
  <c r="Q5" i="8"/>
  <c r="P5" i="8"/>
  <c r="O5" i="8"/>
  <c r="N5" i="8"/>
  <c r="M5" i="8"/>
  <c r="L5" i="8"/>
  <c r="K5" i="8"/>
  <c r="J5" i="8"/>
  <c r="R5" i="8" s="1"/>
  <c r="S5" i="8" s="1"/>
  <c r="Q4" i="8"/>
  <c r="P4" i="8"/>
  <c r="O4" i="8"/>
  <c r="N4" i="8"/>
  <c r="M4" i="8"/>
  <c r="L4" i="8"/>
  <c r="K4" i="8"/>
  <c r="J4" i="8"/>
  <c r="R4" i="8" s="1"/>
  <c r="S4" i="8" s="1"/>
  <c r="Q3" i="8"/>
  <c r="P3" i="8"/>
  <c r="O3" i="8"/>
  <c r="N3" i="8"/>
  <c r="M3" i="8"/>
  <c r="L3" i="8"/>
  <c r="K3" i="8"/>
  <c r="J3" i="8"/>
  <c r="R3" i="8" s="1"/>
  <c r="S3" i="8" s="1"/>
  <c r="Q42" i="7"/>
  <c r="P42" i="7"/>
  <c r="O42" i="7"/>
  <c r="N42" i="7"/>
  <c r="M42" i="7"/>
  <c r="L42" i="7"/>
  <c r="K42" i="7"/>
  <c r="J42" i="7"/>
  <c r="R42" i="7" s="1"/>
  <c r="S42" i="7" s="1"/>
  <c r="Q41" i="7"/>
  <c r="P41" i="7"/>
  <c r="O41" i="7"/>
  <c r="N41" i="7"/>
  <c r="M41" i="7"/>
  <c r="L41" i="7"/>
  <c r="K41" i="7"/>
  <c r="J41" i="7"/>
  <c r="R41" i="7" s="1"/>
  <c r="S41" i="7" s="1"/>
  <c r="Q40" i="7"/>
  <c r="P40" i="7"/>
  <c r="O40" i="7"/>
  <c r="N40" i="7"/>
  <c r="M40" i="7"/>
  <c r="L40" i="7"/>
  <c r="K40" i="7"/>
  <c r="J40" i="7"/>
  <c r="R40" i="7" s="1"/>
  <c r="S40" i="7" s="1"/>
  <c r="Q39" i="7"/>
  <c r="P39" i="7"/>
  <c r="O39" i="7"/>
  <c r="N39" i="7"/>
  <c r="M39" i="7"/>
  <c r="L39" i="7"/>
  <c r="K39" i="7"/>
  <c r="J39" i="7"/>
  <c r="R39" i="7" s="1"/>
  <c r="S39" i="7" s="1"/>
  <c r="Q38" i="7"/>
  <c r="P38" i="7"/>
  <c r="O38" i="7"/>
  <c r="N38" i="7"/>
  <c r="M38" i="7"/>
  <c r="L38" i="7"/>
  <c r="K38" i="7"/>
  <c r="J38" i="7"/>
  <c r="R38" i="7" s="1"/>
  <c r="S38" i="7" s="1"/>
  <c r="Q37" i="7"/>
  <c r="P37" i="7"/>
  <c r="O37" i="7"/>
  <c r="N37" i="7"/>
  <c r="M37" i="7"/>
  <c r="L37" i="7"/>
  <c r="K37" i="7"/>
  <c r="J37" i="7"/>
  <c r="R37" i="7" s="1"/>
  <c r="S37" i="7" s="1"/>
  <c r="Q36" i="7"/>
  <c r="P36" i="7"/>
  <c r="O36" i="7"/>
  <c r="N36" i="7"/>
  <c r="M36" i="7"/>
  <c r="L36" i="7"/>
  <c r="K36" i="7"/>
  <c r="J36" i="7"/>
  <c r="R36" i="7" s="1"/>
  <c r="S36" i="7" s="1"/>
  <c r="Q35" i="7"/>
  <c r="P35" i="7"/>
  <c r="O35" i="7"/>
  <c r="N35" i="7"/>
  <c r="M35" i="7"/>
  <c r="L35" i="7"/>
  <c r="K35" i="7"/>
  <c r="J35" i="7"/>
  <c r="R35" i="7" s="1"/>
  <c r="S35" i="7" s="1"/>
  <c r="Q34" i="7"/>
  <c r="P34" i="7"/>
  <c r="O34" i="7"/>
  <c r="N34" i="7"/>
  <c r="M34" i="7"/>
  <c r="L34" i="7"/>
  <c r="K34" i="7"/>
  <c r="J34" i="7"/>
  <c r="R34" i="7" s="1"/>
  <c r="S34" i="7" s="1"/>
  <c r="Q33" i="7"/>
  <c r="P33" i="7"/>
  <c r="O33" i="7"/>
  <c r="N33" i="7"/>
  <c r="M33" i="7"/>
  <c r="L33" i="7"/>
  <c r="K33" i="7"/>
  <c r="J33" i="7"/>
  <c r="R33" i="7" s="1"/>
  <c r="S33" i="7" s="1"/>
  <c r="Q32" i="7"/>
  <c r="P32" i="7"/>
  <c r="O32" i="7"/>
  <c r="N32" i="7"/>
  <c r="M32" i="7"/>
  <c r="L32" i="7"/>
  <c r="K32" i="7"/>
  <c r="J32" i="7"/>
  <c r="R32" i="7" s="1"/>
  <c r="S32" i="7" s="1"/>
  <c r="Q31" i="7"/>
  <c r="P31" i="7"/>
  <c r="O31" i="7"/>
  <c r="N31" i="7"/>
  <c r="M31" i="7"/>
  <c r="L31" i="7"/>
  <c r="K31" i="7"/>
  <c r="J31" i="7"/>
  <c r="R31" i="7" s="1"/>
  <c r="S31" i="7" s="1"/>
  <c r="Q30" i="7"/>
  <c r="P30" i="7"/>
  <c r="O30" i="7"/>
  <c r="N30" i="7"/>
  <c r="M30" i="7"/>
  <c r="L30" i="7"/>
  <c r="K30" i="7"/>
  <c r="J30" i="7"/>
  <c r="R30" i="7" s="1"/>
  <c r="S30" i="7" s="1"/>
  <c r="Q29" i="7"/>
  <c r="P29" i="7"/>
  <c r="O29" i="7"/>
  <c r="N29" i="7"/>
  <c r="M29" i="7"/>
  <c r="L29" i="7"/>
  <c r="K29" i="7"/>
  <c r="J29" i="7"/>
  <c r="R29" i="7" s="1"/>
  <c r="S29" i="7" s="1"/>
  <c r="Q28" i="7"/>
  <c r="P28" i="7"/>
  <c r="O28" i="7"/>
  <c r="N28" i="7"/>
  <c r="M28" i="7"/>
  <c r="L28" i="7"/>
  <c r="K28" i="7"/>
  <c r="J28" i="7"/>
  <c r="R28" i="7" s="1"/>
  <c r="S28" i="7" s="1"/>
  <c r="Q27" i="7"/>
  <c r="P27" i="7"/>
  <c r="O27" i="7"/>
  <c r="N27" i="7"/>
  <c r="M27" i="7"/>
  <c r="L27" i="7"/>
  <c r="K27" i="7"/>
  <c r="J27" i="7"/>
  <c r="R27" i="7" s="1"/>
  <c r="S27" i="7" s="1"/>
  <c r="Q26" i="7"/>
  <c r="P26" i="7"/>
  <c r="O26" i="7"/>
  <c r="N26" i="7"/>
  <c r="M26" i="7"/>
  <c r="L26" i="7"/>
  <c r="K26" i="7"/>
  <c r="J26" i="7"/>
  <c r="R26" i="7" s="1"/>
  <c r="S26" i="7" s="1"/>
  <c r="Q25" i="7"/>
  <c r="P25" i="7"/>
  <c r="O25" i="7"/>
  <c r="N25" i="7"/>
  <c r="M25" i="7"/>
  <c r="L25" i="7"/>
  <c r="K25" i="7"/>
  <c r="J25" i="7"/>
  <c r="R25" i="7" s="1"/>
  <c r="S25" i="7" s="1"/>
  <c r="Q24" i="7"/>
  <c r="P24" i="7"/>
  <c r="O24" i="7"/>
  <c r="N24" i="7"/>
  <c r="M24" i="7"/>
  <c r="L24" i="7"/>
  <c r="K24" i="7"/>
  <c r="J24" i="7"/>
  <c r="R24" i="7" s="1"/>
  <c r="S24" i="7" s="1"/>
  <c r="Q23" i="7"/>
  <c r="P23" i="7"/>
  <c r="O23" i="7"/>
  <c r="N23" i="7"/>
  <c r="M23" i="7"/>
  <c r="L23" i="7"/>
  <c r="K23" i="7"/>
  <c r="J23" i="7"/>
  <c r="R23" i="7" s="1"/>
  <c r="S23" i="7" s="1"/>
  <c r="Q22" i="7"/>
  <c r="P22" i="7"/>
  <c r="O22" i="7"/>
  <c r="N22" i="7"/>
  <c r="M22" i="7"/>
  <c r="L22" i="7"/>
  <c r="K22" i="7"/>
  <c r="J22" i="7"/>
  <c r="R22" i="7" s="1"/>
  <c r="S22" i="7" s="1"/>
  <c r="Q21" i="7"/>
  <c r="P21" i="7"/>
  <c r="O21" i="7"/>
  <c r="N21" i="7"/>
  <c r="M21" i="7"/>
  <c r="L21" i="7"/>
  <c r="K21" i="7"/>
  <c r="J21" i="7"/>
  <c r="R21" i="7" s="1"/>
  <c r="S21" i="7" s="1"/>
  <c r="Q20" i="7"/>
  <c r="P20" i="7"/>
  <c r="O20" i="7"/>
  <c r="N20" i="7"/>
  <c r="M20" i="7"/>
  <c r="L20" i="7"/>
  <c r="K20" i="7"/>
  <c r="J20" i="7"/>
  <c r="R20" i="7" s="1"/>
  <c r="S20" i="7" s="1"/>
  <c r="Q19" i="7"/>
  <c r="P19" i="7"/>
  <c r="O19" i="7"/>
  <c r="N19" i="7"/>
  <c r="M19" i="7"/>
  <c r="L19" i="7"/>
  <c r="K19" i="7"/>
  <c r="J19" i="7"/>
  <c r="R19" i="7" s="1"/>
  <c r="S19" i="7" s="1"/>
  <c r="Q18" i="7"/>
  <c r="P18" i="7"/>
  <c r="O18" i="7"/>
  <c r="N18" i="7"/>
  <c r="M18" i="7"/>
  <c r="L18" i="7"/>
  <c r="K18" i="7"/>
  <c r="J18" i="7"/>
  <c r="R18" i="7" s="1"/>
  <c r="S18" i="7" s="1"/>
  <c r="Q17" i="7"/>
  <c r="P17" i="7"/>
  <c r="O17" i="7"/>
  <c r="N17" i="7"/>
  <c r="M17" i="7"/>
  <c r="L17" i="7"/>
  <c r="K17" i="7"/>
  <c r="J17" i="7"/>
  <c r="R17" i="7" s="1"/>
  <c r="S17" i="7" s="1"/>
  <c r="Q16" i="7"/>
  <c r="P16" i="7"/>
  <c r="O16" i="7"/>
  <c r="N16" i="7"/>
  <c r="M16" i="7"/>
  <c r="L16" i="7"/>
  <c r="K16" i="7"/>
  <c r="J16" i="7"/>
  <c r="R16" i="7" s="1"/>
  <c r="S16" i="7" s="1"/>
  <c r="Q15" i="7"/>
  <c r="P15" i="7"/>
  <c r="O15" i="7"/>
  <c r="N15" i="7"/>
  <c r="M15" i="7"/>
  <c r="L15" i="7"/>
  <c r="K15" i="7"/>
  <c r="J15" i="7"/>
  <c r="R15" i="7" s="1"/>
  <c r="S15" i="7" s="1"/>
  <c r="Q14" i="7"/>
  <c r="P14" i="7"/>
  <c r="O14" i="7"/>
  <c r="N14" i="7"/>
  <c r="M14" i="7"/>
  <c r="L14" i="7"/>
  <c r="K14" i="7"/>
  <c r="J14" i="7"/>
  <c r="R14" i="7" s="1"/>
  <c r="S14" i="7" s="1"/>
  <c r="Q13" i="7"/>
  <c r="P13" i="7"/>
  <c r="O13" i="7"/>
  <c r="N13" i="7"/>
  <c r="M13" i="7"/>
  <c r="L13" i="7"/>
  <c r="K13" i="7"/>
  <c r="J13" i="7"/>
  <c r="R13" i="7" s="1"/>
  <c r="S13" i="7" s="1"/>
  <c r="Q12" i="7"/>
  <c r="P12" i="7"/>
  <c r="O12" i="7"/>
  <c r="N12" i="7"/>
  <c r="M12" i="7"/>
  <c r="L12" i="7"/>
  <c r="K12" i="7"/>
  <c r="J12" i="7"/>
  <c r="R12" i="7" s="1"/>
  <c r="S12" i="7" s="1"/>
  <c r="Q11" i="7"/>
  <c r="P11" i="7"/>
  <c r="O11" i="7"/>
  <c r="N11" i="7"/>
  <c r="M11" i="7"/>
  <c r="L11" i="7"/>
  <c r="K11" i="7"/>
  <c r="J11" i="7"/>
  <c r="R11" i="7" s="1"/>
  <c r="S11" i="7" s="1"/>
  <c r="Q10" i="7"/>
  <c r="P10" i="7"/>
  <c r="O10" i="7"/>
  <c r="N10" i="7"/>
  <c r="M10" i="7"/>
  <c r="L10" i="7"/>
  <c r="K10" i="7"/>
  <c r="J10" i="7"/>
  <c r="R10" i="7" s="1"/>
  <c r="S10" i="7" s="1"/>
  <c r="Q9" i="7"/>
  <c r="P9" i="7"/>
  <c r="O9" i="7"/>
  <c r="N9" i="7"/>
  <c r="M9" i="7"/>
  <c r="L9" i="7"/>
  <c r="K9" i="7"/>
  <c r="J9" i="7"/>
  <c r="R9" i="7" s="1"/>
  <c r="S9" i="7" s="1"/>
  <c r="Q8" i="7"/>
  <c r="P8" i="7"/>
  <c r="O8" i="7"/>
  <c r="N8" i="7"/>
  <c r="M8" i="7"/>
  <c r="L8" i="7"/>
  <c r="K8" i="7"/>
  <c r="J8" i="7"/>
  <c r="R8" i="7" s="1"/>
  <c r="S8" i="7" s="1"/>
  <c r="Q7" i="7"/>
  <c r="P7" i="7"/>
  <c r="O7" i="7"/>
  <c r="N7" i="7"/>
  <c r="M7" i="7"/>
  <c r="L7" i="7"/>
  <c r="K7" i="7"/>
  <c r="J7" i="7"/>
  <c r="R7" i="7" s="1"/>
  <c r="S7" i="7" s="1"/>
  <c r="Q6" i="7"/>
  <c r="P6" i="7"/>
  <c r="O6" i="7"/>
  <c r="N6" i="7"/>
  <c r="M6" i="7"/>
  <c r="L6" i="7"/>
  <c r="K6" i="7"/>
  <c r="J6" i="7"/>
  <c r="R6" i="7" s="1"/>
  <c r="S6" i="7" s="1"/>
  <c r="Q5" i="7"/>
  <c r="P5" i="7"/>
  <c r="O5" i="7"/>
  <c r="N5" i="7"/>
  <c r="M5" i="7"/>
  <c r="L5" i="7"/>
  <c r="K5" i="7"/>
  <c r="J5" i="7"/>
  <c r="R5" i="7" s="1"/>
  <c r="S5" i="7" s="1"/>
  <c r="Q4" i="7"/>
  <c r="P4" i="7"/>
  <c r="O4" i="7"/>
  <c r="N4" i="7"/>
  <c r="M4" i="7"/>
  <c r="L4" i="7"/>
  <c r="K4" i="7"/>
  <c r="J4" i="7"/>
  <c r="R4" i="7" s="1"/>
  <c r="S4" i="7" s="1"/>
  <c r="Q3" i="7"/>
  <c r="P3" i="7"/>
  <c r="O3" i="7"/>
  <c r="N3" i="7"/>
  <c r="M3" i="7"/>
  <c r="L3" i="7"/>
  <c r="K3" i="7"/>
  <c r="J3" i="7"/>
  <c r="R3" i="7" s="1"/>
  <c r="S3" i="7" s="1"/>
  <c r="Q42" i="6"/>
  <c r="P42" i="6"/>
  <c r="O42" i="6"/>
  <c r="N42" i="6"/>
  <c r="M42" i="6"/>
  <c r="L42" i="6"/>
  <c r="K42" i="6"/>
  <c r="J42" i="6"/>
  <c r="R42" i="6" s="1"/>
  <c r="Q41" i="6"/>
  <c r="P41" i="6"/>
  <c r="O41" i="6"/>
  <c r="N41" i="6"/>
  <c r="M41" i="6"/>
  <c r="L41" i="6"/>
  <c r="K41" i="6"/>
  <c r="J41" i="6"/>
  <c r="R41" i="6" s="1"/>
  <c r="Q40" i="6"/>
  <c r="P40" i="6"/>
  <c r="O40" i="6"/>
  <c r="N40" i="6"/>
  <c r="M40" i="6"/>
  <c r="L40" i="6"/>
  <c r="K40" i="6"/>
  <c r="J40" i="6"/>
  <c r="R40" i="6" s="1"/>
  <c r="Q39" i="6"/>
  <c r="P39" i="6"/>
  <c r="O39" i="6"/>
  <c r="N39" i="6"/>
  <c r="M39" i="6"/>
  <c r="L39" i="6"/>
  <c r="K39" i="6"/>
  <c r="J39" i="6"/>
  <c r="R39" i="6" s="1"/>
  <c r="Q38" i="6"/>
  <c r="P38" i="6"/>
  <c r="O38" i="6"/>
  <c r="N38" i="6"/>
  <c r="M38" i="6"/>
  <c r="L38" i="6"/>
  <c r="K38" i="6"/>
  <c r="J38" i="6"/>
  <c r="R38" i="6" s="1"/>
  <c r="Q37" i="6"/>
  <c r="P37" i="6"/>
  <c r="O37" i="6"/>
  <c r="N37" i="6"/>
  <c r="M37" i="6"/>
  <c r="L37" i="6"/>
  <c r="K37" i="6"/>
  <c r="J37" i="6"/>
  <c r="R37" i="6" s="1"/>
  <c r="Q36" i="6"/>
  <c r="P36" i="6"/>
  <c r="O36" i="6"/>
  <c r="N36" i="6"/>
  <c r="M36" i="6"/>
  <c r="L36" i="6"/>
  <c r="K36" i="6"/>
  <c r="J36" i="6"/>
  <c r="R36" i="6" s="1"/>
  <c r="Q35" i="6"/>
  <c r="P35" i="6"/>
  <c r="O35" i="6"/>
  <c r="N35" i="6"/>
  <c r="M35" i="6"/>
  <c r="L35" i="6"/>
  <c r="K35" i="6"/>
  <c r="J35" i="6"/>
  <c r="R35" i="6" s="1"/>
  <c r="Q34" i="6"/>
  <c r="P34" i="6"/>
  <c r="O34" i="6"/>
  <c r="N34" i="6"/>
  <c r="M34" i="6"/>
  <c r="L34" i="6"/>
  <c r="K34" i="6"/>
  <c r="J34" i="6"/>
  <c r="R34" i="6" s="1"/>
  <c r="Q33" i="6"/>
  <c r="P33" i="6"/>
  <c r="O33" i="6"/>
  <c r="N33" i="6"/>
  <c r="M33" i="6"/>
  <c r="L33" i="6"/>
  <c r="K33" i="6"/>
  <c r="J33" i="6"/>
  <c r="R33" i="6" s="1"/>
  <c r="Q32" i="6"/>
  <c r="P32" i="6"/>
  <c r="O32" i="6"/>
  <c r="N32" i="6"/>
  <c r="M32" i="6"/>
  <c r="L32" i="6"/>
  <c r="K32" i="6"/>
  <c r="J32" i="6"/>
  <c r="R32" i="6" s="1"/>
  <c r="Q31" i="6"/>
  <c r="P31" i="6"/>
  <c r="O31" i="6"/>
  <c r="N31" i="6"/>
  <c r="M31" i="6"/>
  <c r="L31" i="6"/>
  <c r="K31" i="6"/>
  <c r="J31" i="6"/>
  <c r="R31" i="6" s="1"/>
  <c r="Q30" i="6"/>
  <c r="P30" i="6"/>
  <c r="O30" i="6"/>
  <c r="N30" i="6"/>
  <c r="M30" i="6"/>
  <c r="L30" i="6"/>
  <c r="K30" i="6"/>
  <c r="J30" i="6"/>
  <c r="R30" i="6" s="1"/>
  <c r="Q29" i="6"/>
  <c r="P29" i="6"/>
  <c r="O29" i="6"/>
  <c r="N29" i="6"/>
  <c r="M29" i="6"/>
  <c r="L29" i="6"/>
  <c r="K29" i="6"/>
  <c r="J29" i="6"/>
  <c r="R29" i="6" s="1"/>
  <c r="Q28" i="6"/>
  <c r="P28" i="6"/>
  <c r="O28" i="6"/>
  <c r="N28" i="6"/>
  <c r="M28" i="6"/>
  <c r="L28" i="6"/>
  <c r="K28" i="6"/>
  <c r="J28" i="6"/>
  <c r="R28" i="6" s="1"/>
  <c r="Q27" i="6"/>
  <c r="P27" i="6"/>
  <c r="O27" i="6"/>
  <c r="N27" i="6"/>
  <c r="M27" i="6"/>
  <c r="L27" i="6"/>
  <c r="K27" i="6"/>
  <c r="J27" i="6"/>
  <c r="R27" i="6" s="1"/>
  <c r="Q26" i="6"/>
  <c r="P26" i="6"/>
  <c r="O26" i="6"/>
  <c r="N26" i="6"/>
  <c r="M26" i="6"/>
  <c r="L26" i="6"/>
  <c r="K26" i="6"/>
  <c r="J26" i="6"/>
  <c r="R26" i="6" s="1"/>
  <c r="Q25" i="6"/>
  <c r="P25" i="6"/>
  <c r="O25" i="6"/>
  <c r="N25" i="6"/>
  <c r="M25" i="6"/>
  <c r="L25" i="6"/>
  <c r="K25" i="6"/>
  <c r="J25" i="6"/>
  <c r="R25" i="6" s="1"/>
  <c r="Q24" i="6"/>
  <c r="P24" i="6"/>
  <c r="O24" i="6"/>
  <c r="N24" i="6"/>
  <c r="M24" i="6"/>
  <c r="L24" i="6"/>
  <c r="K24" i="6"/>
  <c r="J24" i="6"/>
  <c r="R24" i="6" s="1"/>
  <c r="Q23" i="6"/>
  <c r="P23" i="6"/>
  <c r="O23" i="6"/>
  <c r="N23" i="6"/>
  <c r="M23" i="6"/>
  <c r="L23" i="6"/>
  <c r="K23" i="6"/>
  <c r="J23" i="6"/>
  <c r="R23" i="6" s="1"/>
  <c r="Q22" i="6"/>
  <c r="P22" i="6"/>
  <c r="O22" i="6"/>
  <c r="N22" i="6"/>
  <c r="M22" i="6"/>
  <c r="L22" i="6"/>
  <c r="K22" i="6"/>
  <c r="J22" i="6"/>
  <c r="R22" i="6" s="1"/>
  <c r="Q21" i="6"/>
  <c r="P21" i="6"/>
  <c r="O21" i="6"/>
  <c r="N21" i="6"/>
  <c r="M21" i="6"/>
  <c r="L21" i="6"/>
  <c r="K21" i="6"/>
  <c r="J21" i="6"/>
  <c r="R21" i="6" s="1"/>
  <c r="Q20" i="6"/>
  <c r="P20" i="6"/>
  <c r="O20" i="6"/>
  <c r="N20" i="6"/>
  <c r="M20" i="6"/>
  <c r="L20" i="6"/>
  <c r="K20" i="6"/>
  <c r="J20" i="6"/>
  <c r="R20" i="6" s="1"/>
  <c r="Q19" i="6"/>
  <c r="P19" i="6"/>
  <c r="O19" i="6"/>
  <c r="N19" i="6"/>
  <c r="M19" i="6"/>
  <c r="L19" i="6"/>
  <c r="K19" i="6"/>
  <c r="J19" i="6"/>
  <c r="R19" i="6" s="1"/>
  <c r="Q18" i="6"/>
  <c r="P18" i="6"/>
  <c r="O18" i="6"/>
  <c r="N18" i="6"/>
  <c r="M18" i="6"/>
  <c r="L18" i="6"/>
  <c r="K18" i="6"/>
  <c r="J18" i="6"/>
  <c r="R18" i="6" s="1"/>
  <c r="Q17" i="6"/>
  <c r="P17" i="6"/>
  <c r="O17" i="6"/>
  <c r="N17" i="6"/>
  <c r="M17" i="6"/>
  <c r="L17" i="6"/>
  <c r="K17" i="6"/>
  <c r="J17" i="6"/>
  <c r="R17" i="6" s="1"/>
  <c r="Q16" i="6"/>
  <c r="P16" i="6"/>
  <c r="O16" i="6"/>
  <c r="N16" i="6"/>
  <c r="M16" i="6"/>
  <c r="L16" i="6"/>
  <c r="K16" i="6"/>
  <c r="J16" i="6"/>
  <c r="R16" i="6" s="1"/>
  <c r="Q15" i="6"/>
  <c r="P15" i="6"/>
  <c r="O15" i="6"/>
  <c r="N15" i="6"/>
  <c r="M15" i="6"/>
  <c r="L15" i="6"/>
  <c r="K15" i="6"/>
  <c r="J15" i="6"/>
  <c r="R15" i="6" s="1"/>
  <c r="Q14" i="6"/>
  <c r="P14" i="6"/>
  <c r="O14" i="6"/>
  <c r="N14" i="6"/>
  <c r="M14" i="6"/>
  <c r="L14" i="6"/>
  <c r="K14" i="6"/>
  <c r="J14" i="6"/>
  <c r="R14" i="6" s="1"/>
  <c r="Q13" i="6"/>
  <c r="P13" i="6"/>
  <c r="O13" i="6"/>
  <c r="N13" i="6"/>
  <c r="M13" i="6"/>
  <c r="L13" i="6"/>
  <c r="K13" i="6"/>
  <c r="J13" i="6"/>
  <c r="R13" i="6" s="1"/>
  <c r="Q12" i="6"/>
  <c r="P12" i="6"/>
  <c r="O12" i="6"/>
  <c r="N12" i="6"/>
  <c r="M12" i="6"/>
  <c r="L12" i="6"/>
  <c r="K12" i="6"/>
  <c r="J12" i="6"/>
  <c r="R12" i="6" s="1"/>
  <c r="Q11" i="6"/>
  <c r="P11" i="6"/>
  <c r="O11" i="6"/>
  <c r="N11" i="6"/>
  <c r="M11" i="6"/>
  <c r="L11" i="6"/>
  <c r="K11" i="6"/>
  <c r="J11" i="6"/>
  <c r="R11" i="6" s="1"/>
  <c r="Q10" i="6"/>
  <c r="P10" i="6"/>
  <c r="O10" i="6"/>
  <c r="N10" i="6"/>
  <c r="M10" i="6"/>
  <c r="L10" i="6"/>
  <c r="K10" i="6"/>
  <c r="J10" i="6"/>
  <c r="R10" i="6" s="1"/>
  <c r="Q9" i="6"/>
  <c r="P9" i="6"/>
  <c r="O9" i="6"/>
  <c r="N9" i="6"/>
  <c r="M9" i="6"/>
  <c r="L9" i="6"/>
  <c r="K9" i="6"/>
  <c r="J9" i="6"/>
  <c r="R9" i="6" s="1"/>
  <c r="Q8" i="6"/>
  <c r="P8" i="6"/>
  <c r="O8" i="6"/>
  <c r="N8" i="6"/>
  <c r="M8" i="6"/>
  <c r="L8" i="6"/>
  <c r="K8" i="6"/>
  <c r="J8" i="6"/>
  <c r="R8" i="6" s="1"/>
  <c r="Q7" i="6"/>
  <c r="P7" i="6"/>
  <c r="O7" i="6"/>
  <c r="N7" i="6"/>
  <c r="M7" i="6"/>
  <c r="L7" i="6"/>
  <c r="K7" i="6"/>
  <c r="J7" i="6"/>
  <c r="R7" i="6" s="1"/>
  <c r="Q6" i="6"/>
  <c r="P6" i="6"/>
  <c r="O6" i="6"/>
  <c r="N6" i="6"/>
  <c r="M6" i="6"/>
  <c r="L6" i="6"/>
  <c r="K6" i="6"/>
  <c r="J6" i="6"/>
  <c r="R6" i="6" s="1"/>
  <c r="Q5" i="6"/>
  <c r="P5" i="6"/>
  <c r="O5" i="6"/>
  <c r="N5" i="6"/>
  <c r="M5" i="6"/>
  <c r="L5" i="6"/>
  <c r="K5" i="6"/>
  <c r="J5" i="6"/>
  <c r="R5" i="6" s="1"/>
  <c r="Q4" i="6"/>
  <c r="P4" i="6"/>
  <c r="O4" i="6"/>
  <c r="N4" i="6"/>
  <c r="M4" i="6"/>
  <c r="L4" i="6"/>
  <c r="K4" i="6"/>
  <c r="J4" i="6"/>
  <c r="Q3" i="6"/>
  <c r="P3" i="6"/>
  <c r="O3" i="6"/>
  <c r="N3" i="6"/>
  <c r="M3" i="6"/>
  <c r="L3" i="6"/>
  <c r="K3" i="6"/>
  <c r="J3" i="6"/>
  <c r="R3" i="6" s="1"/>
  <c r="Q42" i="5"/>
  <c r="P42" i="5"/>
  <c r="O42" i="5"/>
  <c r="N42" i="5"/>
  <c r="M42" i="5"/>
  <c r="L42" i="5"/>
  <c r="K42" i="5"/>
  <c r="J42" i="5"/>
  <c r="R42" i="5" s="1"/>
  <c r="S42" i="5" s="1"/>
  <c r="Q41" i="5"/>
  <c r="P41" i="5"/>
  <c r="O41" i="5"/>
  <c r="N41" i="5"/>
  <c r="M41" i="5"/>
  <c r="L41" i="5"/>
  <c r="K41" i="5"/>
  <c r="J41" i="5"/>
  <c r="R41" i="5" s="1"/>
  <c r="S41" i="5" s="1"/>
  <c r="Q40" i="5"/>
  <c r="P40" i="5"/>
  <c r="O40" i="5"/>
  <c r="N40" i="5"/>
  <c r="M40" i="5"/>
  <c r="L40" i="5"/>
  <c r="K40" i="5"/>
  <c r="J40" i="5"/>
  <c r="R40" i="5" s="1"/>
  <c r="S40" i="5" s="1"/>
  <c r="Q39" i="5"/>
  <c r="P39" i="5"/>
  <c r="O39" i="5"/>
  <c r="N39" i="5"/>
  <c r="M39" i="5"/>
  <c r="L39" i="5"/>
  <c r="K39" i="5"/>
  <c r="J39" i="5"/>
  <c r="R39" i="5" s="1"/>
  <c r="S39" i="5" s="1"/>
  <c r="Q38" i="5"/>
  <c r="P38" i="5"/>
  <c r="O38" i="5"/>
  <c r="N38" i="5"/>
  <c r="M38" i="5"/>
  <c r="L38" i="5"/>
  <c r="K38" i="5"/>
  <c r="J38" i="5"/>
  <c r="R38" i="5" s="1"/>
  <c r="S38" i="5" s="1"/>
  <c r="Q37" i="5"/>
  <c r="P37" i="5"/>
  <c r="O37" i="5"/>
  <c r="N37" i="5"/>
  <c r="M37" i="5"/>
  <c r="L37" i="5"/>
  <c r="K37" i="5"/>
  <c r="J37" i="5"/>
  <c r="R37" i="5" s="1"/>
  <c r="S37" i="5" s="1"/>
  <c r="Q36" i="5"/>
  <c r="P36" i="5"/>
  <c r="O36" i="5"/>
  <c r="N36" i="5"/>
  <c r="M36" i="5"/>
  <c r="L36" i="5"/>
  <c r="K36" i="5"/>
  <c r="J36" i="5"/>
  <c r="R36" i="5" s="1"/>
  <c r="S36" i="5" s="1"/>
  <c r="Q35" i="5"/>
  <c r="P35" i="5"/>
  <c r="O35" i="5"/>
  <c r="N35" i="5"/>
  <c r="M35" i="5"/>
  <c r="L35" i="5"/>
  <c r="K35" i="5"/>
  <c r="J35" i="5"/>
  <c r="R35" i="5" s="1"/>
  <c r="S35" i="5" s="1"/>
  <c r="Q34" i="5"/>
  <c r="P34" i="5"/>
  <c r="O34" i="5"/>
  <c r="N34" i="5"/>
  <c r="M34" i="5"/>
  <c r="L34" i="5"/>
  <c r="K34" i="5"/>
  <c r="J34" i="5"/>
  <c r="R34" i="5" s="1"/>
  <c r="S34" i="5" s="1"/>
  <c r="Q33" i="5"/>
  <c r="P33" i="5"/>
  <c r="O33" i="5"/>
  <c r="N33" i="5"/>
  <c r="M33" i="5"/>
  <c r="L33" i="5"/>
  <c r="K33" i="5"/>
  <c r="J33" i="5"/>
  <c r="R33" i="5" s="1"/>
  <c r="S33" i="5" s="1"/>
  <c r="Q32" i="5"/>
  <c r="P32" i="5"/>
  <c r="O32" i="5"/>
  <c r="N32" i="5"/>
  <c r="M32" i="5"/>
  <c r="L32" i="5"/>
  <c r="K32" i="5"/>
  <c r="J32" i="5"/>
  <c r="R32" i="5" s="1"/>
  <c r="S32" i="5" s="1"/>
  <c r="Q31" i="5"/>
  <c r="P31" i="5"/>
  <c r="O31" i="5"/>
  <c r="N31" i="5"/>
  <c r="M31" i="5"/>
  <c r="L31" i="5"/>
  <c r="K31" i="5"/>
  <c r="J31" i="5"/>
  <c r="R31" i="5" s="1"/>
  <c r="S31" i="5" s="1"/>
  <c r="Q30" i="5"/>
  <c r="P30" i="5"/>
  <c r="O30" i="5"/>
  <c r="N30" i="5"/>
  <c r="M30" i="5"/>
  <c r="L30" i="5"/>
  <c r="K30" i="5"/>
  <c r="J30" i="5"/>
  <c r="R30" i="5" s="1"/>
  <c r="S30" i="5" s="1"/>
  <c r="Q29" i="5"/>
  <c r="P29" i="5"/>
  <c r="O29" i="5"/>
  <c r="N29" i="5"/>
  <c r="M29" i="5"/>
  <c r="L29" i="5"/>
  <c r="K29" i="5"/>
  <c r="J29" i="5"/>
  <c r="R29" i="5" s="1"/>
  <c r="S29" i="5" s="1"/>
  <c r="Q28" i="5"/>
  <c r="P28" i="5"/>
  <c r="O28" i="5"/>
  <c r="N28" i="5"/>
  <c r="M28" i="5"/>
  <c r="L28" i="5"/>
  <c r="K28" i="5"/>
  <c r="J28" i="5"/>
  <c r="R28" i="5" s="1"/>
  <c r="S28" i="5" s="1"/>
  <c r="Q27" i="5"/>
  <c r="P27" i="5"/>
  <c r="O27" i="5"/>
  <c r="N27" i="5"/>
  <c r="M27" i="5"/>
  <c r="L27" i="5"/>
  <c r="K27" i="5"/>
  <c r="J27" i="5"/>
  <c r="R27" i="5" s="1"/>
  <c r="S27" i="5" s="1"/>
  <c r="Q26" i="5"/>
  <c r="P26" i="5"/>
  <c r="O26" i="5"/>
  <c r="N26" i="5"/>
  <c r="M26" i="5"/>
  <c r="L26" i="5"/>
  <c r="K26" i="5"/>
  <c r="J26" i="5"/>
  <c r="R26" i="5" s="1"/>
  <c r="S26" i="5" s="1"/>
  <c r="Q25" i="5"/>
  <c r="P25" i="5"/>
  <c r="O25" i="5"/>
  <c r="N25" i="5"/>
  <c r="M25" i="5"/>
  <c r="L25" i="5"/>
  <c r="K25" i="5"/>
  <c r="J25" i="5"/>
  <c r="R25" i="5" s="1"/>
  <c r="S25" i="5" s="1"/>
  <c r="Q24" i="5"/>
  <c r="P24" i="5"/>
  <c r="O24" i="5"/>
  <c r="N24" i="5"/>
  <c r="M24" i="5"/>
  <c r="L24" i="5"/>
  <c r="K24" i="5"/>
  <c r="J24" i="5"/>
  <c r="R24" i="5" s="1"/>
  <c r="S24" i="5" s="1"/>
  <c r="Q23" i="5"/>
  <c r="P23" i="5"/>
  <c r="O23" i="5"/>
  <c r="N23" i="5"/>
  <c r="M23" i="5"/>
  <c r="L23" i="5"/>
  <c r="K23" i="5"/>
  <c r="J23" i="5"/>
  <c r="R23" i="5" s="1"/>
  <c r="S23" i="5" s="1"/>
  <c r="Q22" i="5"/>
  <c r="P22" i="5"/>
  <c r="O22" i="5"/>
  <c r="N22" i="5"/>
  <c r="M22" i="5"/>
  <c r="L22" i="5"/>
  <c r="K22" i="5"/>
  <c r="J22" i="5"/>
  <c r="Q21" i="5"/>
  <c r="P21" i="5"/>
  <c r="O21" i="5"/>
  <c r="N21" i="5"/>
  <c r="M21" i="5"/>
  <c r="L21" i="5"/>
  <c r="K21" i="5"/>
  <c r="J21" i="5"/>
  <c r="Q20" i="5"/>
  <c r="P20" i="5"/>
  <c r="O20" i="5"/>
  <c r="N20" i="5"/>
  <c r="M20" i="5"/>
  <c r="L20" i="5"/>
  <c r="K20" i="5"/>
  <c r="J20" i="5"/>
  <c r="Q19" i="5"/>
  <c r="P19" i="5"/>
  <c r="O19" i="5"/>
  <c r="N19" i="5"/>
  <c r="M19" i="5"/>
  <c r="L19" i="5"/>
  <c r="K19" i="5"/>
  <c r="J19" i="5"/>
  <c r="Q18" i="5"/>
  <c r="P18" i="5"/>
  <c r="O18" i="5"/>
  <c r="N18" i="5"/>
  <c r="M18" i="5"/>
  <c r="L18" i="5"/>
  <c r="K18" i="5"/>
  <c r="J18" i="5"/>
  <c r="Q17" i="5"/>
  <c r="P17" i="5"/>
  <c r="O17" i="5"/>
  <c r="N17" i="5"/>
  <c r="M17" i="5"/>
  <c r="L17" i="5"/>
  <c r="K17" i="5"/>
  <c r="J17" i="5"/>
  <c r="Q16" i="5"/>
  <c r="P16" i="5"/>
  <c r="O16" i="5"/>
  <c r="N16" i="5"/>
  <c r="M16" i="5"/>
  <c r="L16" i="5"/>
  <c r="K16" i="5"/>
  <c r="J16" i="5"/>
  <c r="Q15" i="5"/>
  <c r="P15" i="5"/>
  <c r="O15" i="5"/>
  <c r="N15" i="5"/>
  <c r="M15" i="5"/>
  <c r="L15" i="5"/>
  <c r="K15" i="5"/>
  <c r="J15" i="5"/>
  <c r="Q14" i="5"/>
  <c r="P14" i="5"/>
  <c r="O14" i="5"/>
  <c r="N14" i="5"/>
  <c r="M14" i="5"/>
  <c r="L14" i="5"/>
  <c r="K14" i="5"/>
  <c r="J14" i="5"/>
  <c r="Q13" i="5"/>
  <c r="P13" i="5"/>
  <c r="O13" i="5"/>
  <c r="N13" i="5"/>
  <c r="M13" i="5"/>
  <c r="L13" i="5"/>
  <c r="K13" i="5"/>
  <c r="J13" i="5"/>
  <c r="Q12" i="5"/>
  <c r="P12" i="5"/>
  <c r="O12" i="5"/>
  <c r="N12" i="5"/>
  <c r="M12" i="5"/>
  <c r="L12" i="5"/>
  <c r="K12" i="5"/>
  <c r="J12" i="5"/>
  <c r="Q11" i="5"/>
  <c r="P11" i="5"/>
  <c r="O11" i="5"/>
  <c r="N11" i="5"/>
  <c r="M11" i="5"/>
  <c r="L11" i="5"/>
  <c r="K11" i="5"/>
  <c r="J11" i="5"/>
  <c r="Q10" i="5"/>
  <c r="P10" i="5"/>
  <c r="O10" i="5"/>
  <c r="N10" i="5"/>
  <c r="M10" i="5"/>
  <c r="L10" i="5"/>
  <c r="K10" i="5"/>
  <c r="J10" i="5"/>
  <c r="Q9" i="5"/>
  <c r="P9" i="5"/>
  <c r="O9" i="5"/>
  <c r="N9" i="5"/>
  <c r="M9" i="5"/>
  <c r="L9" i="5"/>
  <c r="K9" i="5"/>
  <c r="J9" i="5"/>
  <c r="Q8" i="5"/>
  <c r="P8" i="5"/>
  <c r="O8" i="5"/>
  <c r="N8" i="5"/>
  <c r="M8" i="5"/>
  <c r="L8" i="5"/>
  <c r="K8" i="5"/>
  <c r="J8" i="5"/>
  <c r="Q7" i="5"/>
  <c r="P7" i="5"/>
  <c r="O7" i="5"/>
  <c r="N7" i="5"/>
  <c r="M7" i="5"/>
  <c r="L7" i="5"/>
  <c r="K7" i="5"/>
  <c r="J7" i="5"/>
  <c r="Q6" i="5"/>
  <c r="P6" i="5"/>
  <c r="O6" i="5"/>
  <c r="N6" i="5"/>
  <c r="M6" i="5"/>
  <c r="L6" i="5"/>
  <c r="K6" i="5"/>
  <c r="J6" i="5"/>
  <c r="Q5" i="5"/>
  <c r="P5" i="5"/>
  <c r="O5" i="5"/>
  <c r="N5" i="5"/>
  <c r="M5" i="5"/>
  <c r="L5" i="5"/>
  <c r="K5" i="5"/>
  <c r="J5" i="5"/>
  <c r="Q4" i="5"/>
  <c r="P4" i="5"/>
  <c r="O4" i="5"/>
  <c r="N4" i="5"/>
  <c r="M4" i="5"/>
  <c r="L4" i="5"/>
  <c r="K4" i="5"/>
  <c r="J4" i="5"/>
  <c r="Q3" i="5"/>
  <c r="P3" i="5"/>
  <c r="O3" i="5"/>
  <c r="N3" i="5"/>
  <c r="M3" i="5"/>
  <c r="L3" i="5"/>
  <c r="K3" i="5"/>
  <c r="J3" i="5"/>
  <c r="Q42" i="4"/>
  <c r="P42" i="4"/>
  <c r="O42" i="4"/>
  <c r="N42" i="4"/>
  <c r="M42" i="4"/>
  <c r="L42" i="4"/>
  <c r="K42" i="4"/>
  <c r="J42" i="4"/>
  <c r="R42" i="4" s="1"/>
  <c r="S42" i="4" s="1"/>
  <c r="Q41" i="4"/>
  <c r="P41" i="4"/>
  <c r="O41" i="4"/>
  <c r="N41" i="4"/>
  <c r="M41" i="4"/>
  <c r="L41" i="4"/>
  <c r="K41" i="4"/>
  <c r="J41" i="4"/>
  <c r="R41" i="4" s="1"/>
  <c r="S41" i="4" s="1"/>
  <c r="Q40" i="4"/>
  <c r="P40" i="4"/>
  <c r="O40" i="4"/>
  <c r="N40" i="4"/>
  <c r="M40" i="4"/>
  <c r="L40" i="4"/>
  <c r="K40" i="4"/>
  <c r="J40" i="4"/>
  <c r="R40" i="4" s="1"/>
  <c r="S40" i="4" s="1"/>
  <c r="Q39" i="4"/>
  <c r="P39" i="4"/>
  <c r="O39" i="4"/>
  <c r="N39" i="4"/>
  <c r="M39" i="4"/>
  <c r="L39" i="4"/>
  <c r="K39" i="4"/>
  <c r="J39" i="4"/>
  <c r="R39" i="4" s="1"/>
  <c r="S39" i="4" s="1"/>
  <c r="Q38" i="4"/>
  <c r="P38" i="4"/>
  <c r="O38" i="4"/>
  <c r="N38" i="4"/>
  <c r="M38" i="4"/>
  <c r="L38" i="4"/>
  <c r="K38" i="4"/>
  <c r="J38" i="4"/>
  <c r="R38" i="4" s="1"/>
  <c r="S38" i="4" s="1"/>
  <c r="Q37" i="4"/>
  <c r="P37" i="4"/>
  <c r="O37" i="4"/>
  <c r="N37" i="4"/>
  <c r="M37" i="4"/>
  <c r="L37" i="4"/>
  <c r="K37" i="4"/>
  <c r="J37" i="4"/>
  <c r="R37" i="4" s="1"/>
  <c r="S37" i="4" s="1"/>
  <c r="Q36" i="4"/>
  <c r="P36" i="4"/>
  <c r="O36" i="4"/>
  <c r="N36" i="4"/>
  <c r="M36" i="4"/>
  <c r="L36" i="4"/>
  <c r="K36" i="4"/>
  <c r="J36" i="4"/>
  <c r="R36" i="4" s="1"/>
  <c r="S36" i="4" s="1"/>
  <c r="Q35" i="4"/>
  <c r="P35" i="4"/>
  <c r="O35" i="4"/>
  <c r="N35" i="4"/>
  <c r="M35" i="4"/>
  <c r="L35" i="4"/>
  <c r="K35" i="4"/>
  <c r="J35" i="4"/>
  <c r="R35" i="4" s="1"/>
  <c r="S35" i="4" s="1"/>
  <c r="Q34" i="4"/>
  <c r="P34" i="4"/>
  <c r="O34" i="4"/>
  <c r="N34" i="4"/>
  <c r="M34" i="4"/>
  <c r="L34" i="4"/>
  <c r="K34" i="4"/>
  <c r="J34" i="4"/>
  <c r="R34" i="4" s="1"/>
  <c r="S34" i="4" s="1"/>
  <c r="Q33" i="4"/>
  <c r="P33" i="4"/>
  <c r="O33" i="4"/>
  <c r="N33" i="4"/>
  <c r="M33" i="4"/>
  <c r="L33" i="4"/>
  <c r="K33" i="4"/>
  <c r="J33" i="4"/>
  <c r="R33" i="4" s="1"/>
  <c r="S33" i="4" s="1"/>
  <c r="Q32" i="4"/>
  <c r="P32" i="4"/>
  <c r="O32" i="4"/>
  <c r="N32" i="4"/>
  <c r="M32" i="4"/>
  <c r="L32" i="4"/>
  <c r="K32" i="4"/>
  <c r="J32" i="4"/>
  <c r="R32" i="4" s="1"/>
  <c r="S32" i="4" s="1"/>
  <c r="Q31" i="4"/>
  <c r="P31" i="4"/>
  <c r="O31" i="4"/>
  <c r="N31" i="4"/>
  <c r="M31" i="4"/>
  <c r="L31" i="4"/>
  <c r="K31" i="4"/>
  <c r="J31" i="4"/>
  <c r="R31" i="4" s="1"/>
  <c r="S31" i="4" s="1"/>
  <c r="Q30" i="4"/>
  <c r="P30" i="4"/>
  <c r="O30" i="4"/>
  <c r="N30" i="4"/>
  <c r="M30" i="4"/>
  <c r="L30" i="4"/>
  <c r="K30" i="4"/>
  <c r="J30" i="4"/>
  <c r="R30" i="4" s="1"/>
  <c r="S30" i="4" s="1"/>
  <c r="Q29" i="4"/>
  <c r="P29" i="4"/>
  <c r="O29" i="4"/>
  <c r="N29" i="4"/>
  <c r="M29" i="4"/>
  <c r="L29" i="4"/>
  <c r="K29" i="4"/>
  <c r="J29" i="4"/>
  <c r="R29" i="4" s="1"/>
  <c r="S29" i="4" s="1"/>
  <c r="Q28" i="4"/>
  <c r="P28" i="4"/>
  <c r="O28" i="4"/>
  <c r="N28" i="4"/>
  <c r="M28" i="4"/>
  <c r="L28" i="4"/>
  <c r="K28" i="4"/>
  <c r="J28" i="4"/>
  <c r="R28" i="4" s="1"/>
  <c r="S28" i="4" s="1"/>
  <c r="Q27" i="4"/>
  <c r="P27" i="4"/>
  <c r="O27" i="4"/>
  <c r="N27" i="4"/>
  <c r="M27" i="4"/>
  <c r="L27" i="4"/>
  <c r="K27" i="4"/>
  <c r="J27" i="4"/>
  <c r="R27" i="4" s="1"/>
  <c r="S27" i="4" s="1"/>
  <c r="Q26" i="4"/>
  <c r="P26" i="4"/>
  <c r="O26" i="4"/>
  <c r="N26" i="4"/>
  <c r="M26" i="4"/>
  <c r="L26" i="4"/>
  <c r="K26" i="4"/>
  <c r="J26" i="4"/>
  <c r="R26" i="4" s="1"/>
  <c r="S26" i="4" s="1"/>
  <c r="Q25" i="4"/>
  <c r="P25" i="4"/>
  <c r="O25" i="4"/>
  <c r="N25" i="4"/>
  <c r="M25" i="4"/>
  <c r="L25" i="4"/>
  <c r="K25" i="4"/>
  <c r="J25" i="4"/>
  <c r="R25" i="4" s="1"/>
  <c r="S25" i="4" s="1"/>
  <c r="Q24" i="4"/>
  <c r="P24" i="4"/>
  <c r="O24" i="4"/>
  <c r="N24" i="4"/>
  <c r="M24" i="4"/>
  <c r="L24" i="4"/>
  <c r="K24" i="4"/>
  <c r="J24" i="4"/>
  <c r="R24" i="4" s="1"/>
  <c r="S24" i="4" s="1"/>
  <c r="Q23" i="4"/>
  <c r="P23" i="4"/>
  <c r="O23" i="4"/>
  <c r="N23" i="4"/>
  <c r="M23" i="4"/>
  <c r="L23" i="4"/>
  <c r="K23" i="4"/>
  <c r="J23" i="4"/>
  <c r="R23" i="4" s="1"/>
  <c r="S23" i="4" s="1"/>
  <c r="Q22" i="4"/>
  <c r="P22" i="4"/>
  <c r="O22" i="4"/>
  <c r="N22" i="4"/>
  <c r="M22" i="4"/>
  <c r="L22" i="4"/>
  <c r="K22" i="4"/>
  <c r="J22" i="4"/>
  <c r="R22" i="4" s="1"/>
  <c r="S22" i="4" s="1"/>
  <c r="Q21" i="4"/>
  <c r="P21" i="4"/>
  <c r="O21" i="4"/>
  <c r="N21" i="4"/>
  <c r="M21" i="4"/>
  <c r="L21" i="4"/>
  <c r="K21" i="4"/>
  <c r="J21" i="4"/>
  <c r="R21" i="4" s="1"/>
  <c r="S21" i="4" s="1"/>
  <c r="Q20" i="4"/>
  <c r="P20" i="4"/>
  <c r="O20" i="4"/>
  <c r="N20" i="4"/>
  <c r="M20" i="4"/>
  <c r="L20" i="4"/>
  <c r="K20" i="4"/>
  <c r="J20" i="4"/>
  <c r="R20" i="4" s="1"/>
  <c r="S20" i="4" s="1"/>
  <c r="Q19" i="4"/>
  <c r="P19" i="4"/>
  <c r="O19" i="4"/>
  <c r="N19" i="4"/>
  <c r="M19" i="4"/>
  <c r="L19" i="4"/>
  <c r="K19" i="4"/>
  <c r="J19" i="4"/>
  <c r="R19" i="4" s="1"/>
  <c r="S19" i="4" s="1"/>
  <c r="Q18" i="4"/>
  <c r="P18" i="4"/>
  <c r="O18" i="4"/>
  <c r="N18" i="4"/>
  <c r="M18" i="4"/>
  <c r="L18" i="4"/>
  <c r="K18" i="4"/>
  <c r="J18" i="4"/>
  <c r="R18" i="4" s="1"/>
  <c r="S18" i="4" s="1"/>
  <c r="Q17" i="4"/>
  <c r="P17" i="4"/>
  <c r="O17" i="4"/>
  <c r="N17" i="4"/>
  <c r="M17" i="4"/>
  <c r="L17" i="4"/>
  <c r="K17" i="4"/>
  <c r="J17" i="4"/>
  <c r="R17" i="4" s="1"/>
  <c r="S17" i="4" s="1"/>
  <c r="Q16" i="4"/>
  <c r="P16" i="4"/>
  <c r="O16" i="4"/>
  <c r="N16" i="4"/>
  <c r="M16" i="4"/>
  <c r="L16" i="4"/>
  <c r="K16" i="4"/>
  <c r="J16" i="4"/>
  <c r="R16" i="4" s="1"/>
  <c r="S16" i="4" s="1"/>
  <c r="Q15" i="4"/>
  <c r="P15" i="4"/>
  <c r="O15" i="4"/>
  <c r="N15" i="4"/>
  <c r="M15" i="4"/>
  <c r="L15" i="4"/>
  <c r="K15" i="4"/>
  <c r="J15" i="4"/>
  <c r="R15" i="4" s="1"/>
  <c r="S15" i="4" s="1"/>
  <c r="Q14" i="4"/>
  <c r="P14" i="4"/>
  <c r="O14" i="4"/>
  <c r="N14" i="4"/>
  <c r="M14" i="4"/>
  <c r="L14" i="4"/>
  <c r="K14" i="4"/>
  <c r="J14" i="4"/>
  <c r="R14" i="4" s="1"/>
  <c r="S14" i="4" s="1"/>
  <c r="Q13" i="4"/>
  <c r="P13" i="4"/>
  <c r="O13" i="4"/>
  <c r="N13" i="4"/>
  <c r="M13" i="4"/>
  <c r="L13" i="4"/>
  <c r="K13" i="4"/>
  <c r="J13" i="4"/>
  <c r="R13" i="4" s="1"/>
  <c r="S13" i="4" s="1"/>
  <c r="Q12" i="4"/>
  <c r="P12" i="4"/>
  <c r="O12" i="4"/>
  <c r="N12" i="4"/>
  <c r="M12" i="4"/>
  <c r="L12" i="4"/>
  <c r="K12" i="4"/>
  <c r="J12" i="4"/>
  <c r="R12" i="4" s="1"/>
  <c r="S12" i="4" s="1"/>
  <c r="Q11" i="4"/>
  <c r="P11" i="4"/>
  <c r="O11" i="4"/>
  <c r="N11" i="4"/>
  <c r="M11" i="4"/>
  <c r="L11" i="4"/>
  <c r="K11" i="4"/>
  <c r="J11" i="4"/>
  <c r="R11" i="4" s="1"/>
  <c r="S11" i="4" s="1"/>
  <c r="Q10" i="4"/>
  <c r="P10" i="4"/>
  <c r="O10" i="4"/>
  <c r="N10" i="4"/>
  <c r="M10" i="4"/>
  <c r="L10" i="4"/>
  <c r="K10" i="4"/>
  <c r="J10" i="4"/>
  <c r="R10" i="4" s="1"/>
  <c r="S10" i="4" s="1"/>
  <c r="Q9" i="4"/>
  <c r="P9" i="4"/>
  <c r="O9" i="4"/>
  <c r="N9" i="4"/>
  <c r="M9" i="4"/>
  <c r="L9" i="4"/>
  <c r="K9" i="4"/>
  <c r="J9" i="4"/>
  <c r="R9" i="4" s="1"/>
  <c r="S9" i="4" s="1"/>
  <c r="Q8" i="4"/>
  <c r="P8" i="4"/>
  <c r="O8" i="4"/>
  <c r="N8" i="4"/>
  <c r="M8" i="4"/>
  <c r="L8" i="4"/>
  <c r="K8" i="4"/>
  <c r="J8" i="4"/>
  <c r="R8" i="4" s="1"/>
  <c r="S8" i="4" s="1"/>
  <c r="Q7" i="4"/>
  <c r="P7" i="4"/>
  <c r="O7" i="4"/>
  <c r="N7" i="4"/>
  <c r="M7" i="4"/>
  <c r="L7" i="4"/>
  <c r="K7" i="4"/>
  <c r="J7" i="4"/>
  <c r="R7" i="4" s="1"/>
  <c r="S7" i="4" s="1"/>
  <c r="Q6" i="4"/>
  <c r="P6" i="4"/>
  <c r="O6" i="4"/>
  <c r="N6" i="4"/>
  <c r="M6" i="4"/>
  <c r="L6" i="4"/>
  <c r="K6" i="4"/>
  <c r="J6" i="4"/>
  <c r="R6" i="4" s="1"/>
  <c r="S6" i="4" s="1"/>
  <c r="Q5" i="4"/>
  <c r="P5" i="4"/>
  <c r="O5" i="4"/>
  <c r="N5" i="4"/>
  <c r="M5" i="4"/>
  <c r="L5" i="4"/>
  <c r="K5" i="4"/>
  <c r="J5" i="4"/>
  <c r="R5" i="4" s="1"/>
  <c r="S5" i="4" s="1"/>
  <c r="Q4" i="4"/>
  <c r="P4" i="4"/>
  <c r="O4" i="4"/>
  <c r="N4" i="4"/>
  <c r="M4" i="4"/>
  <c r="L4" i="4"/>
  <c r="K4" i="4"/>
  <c r="J4" i="4"/>
  <c r="R4" i="4" s="1"/>
  <c r="S4" i="4" s="1"/>
  <c r="Q3" i="4"/>
  <c r="P3" i="4"/>
  <c r="O3" i="4"/>
  <c r="N3" i="4"/>
  <c r="M3" i="4"/>
  <c r="L3" i="4"/>
  <c r="K3" i="4"/>
  <c r="J3" i="4"/>
  <c r="R3" i="4" s="1"/>
  <c r="S3" i="4" s="1"/>
  <c r="Q42" i="3"/>
  <c r="P42" i="3"/>
  <c r="O42" i="3"/>
  <c r="N42" i="3"/>
  <c r="M42" i="3"/>
  <c r="L42" i="3"/>
  <c r="K42" i="3"/>
  <c r="J42" i="3"/>
  <c r="Q41" i="3"/>
  <c r="P41" i="3"/>
  <c r="O41" i="3"/>
  <c r="N41" i="3"/>
  <c r="M41" i="3"/>
  <c r="L41" i="3"/>
  <c r="K41" i="3"/>
  <c r="J41" i="3"/>
  <c r="Q40" i="3"/>
  <c r="P40" i="3"/>
  <c r="O40" i="3"/>
  <c r="N40" i="3"/>
  <c r="M40" i="3"/>
  <c r="L40" i="3"/>
  <c r="K40" i="3"/>
  <c r="J40" i="3"/>
  <c r="Q39" i="3"/>
  <c r="P39" i="3"/>
  <c r="O39" i="3"/>
  <c r="N39" i="3"/>
  <c r="M39" i="3"/>
  <c r="L39" i="3"/>
  <c r="K39" i="3"/>
  <c r="J39" i="3"/>
  <c r="Q38" i="3"/>
  <c r="P38" i="3"/>
  <c r="O38" i="3"/>
  <c r="N38" i="3"/>
  <c r="M38" i="3"/>
  <c r="L38" i="3"/>
  <c r="K38" i="3"/>
  <c r="J38" i="3"/>
  <c r="Q37" i="3"/>
  <c r="P37" i="3"/>
  <c r="O37" i="3"/>
  <c r="N37" i="3"/>
  <c r="M37" i="3"/>
  <c r="L37" i="3"/>
  <c r="K37" i="3"/>
  <c r="J37" i="3"/>
  <c r="Q36" i="3"/>
  <c r="P36" i="3"/>
  <c r="O36" i="3"/>
  <c r="N36" i="3"/>
  <c r="M36" i="3"/>
  <c r="L36" i="3"/>
  <c r="K36" i="3"/>
  <c r="J36" i="3"/>
  <c r="Q35" i="3"/>
  <c r="P35" i="3"/>
  <c r="O35" i="3"/>
  <c r="N35" i="3"/>
  <c r="M35" i="3"/>
  <c r="L35" i="3"/>
  <c r="K35" i="3"/>
  <c r="J35" i="3"/>
  <c r="Q34" i="3"/>
  <c r="P34" i="3"/>
  <c r="O34" i="3"/>
  <c r="N34" i="3"/>
  <c r="M34" i="3"/>
  <c r="L34" i="3"/>
  <c r="K34" i="3"/>
  <c r="J34" i="3"/>
  <c r="Q33" i="3"/>
  <c r="P33" i="3"/>
  <c r="O33" i="3"/>
  <c r="N33" i="3"/>
  <c r="M33" i="3"/>
  <c r="L33" i="3"/>
  <c r="K33" i="3"/>
  <c r="J33" i="3"/>
  <c r="Q30" i="3"/>
  <c r="P30" i="3"/>
  <c r="O30" i="3"/>
  <c r="N30" i="3"/>
  <c r="M30" i="3"/>
  <c r="L30" i="3"/>
  <c r="K30" i="3"/>
  <c r="J30" i="3"/>
  <c r="Q29" i="3"/>
  <c r="P29" i="3"/>
  <c r="O29" i="3"/>
  <c r="N29" i="3"/>
  <c r="M29" i="3"/>
  <c r="L29" i="3"/>
  <c r="K29" i="3"/>
  <c r="J29" i="3"/>
  <c r="Q28" i="3"/>
  <c r="P28" i="3"/>
  <c r="O28" i="3"/>
  <c r="N28" i="3"/>
  <c r="M28" i="3"/>
  <c r="L28" i="3"/>
  <c r="K28" i="3"/>
  <c r="J28" i="3"/>
  <c r="Q27" i="3"/>
  <c r="P27" i="3"/>
  <c r="O27" i="3"/>
  <c r="N27" i="3"/>
  <c r="M27" i="3"/>
  <c r="L27" i="3"/>
  <c r="K27" i="3"/>
  <c r="J27" i="3"/>
  <c r="Q26" i="3"/>
  <c r="P26" i="3"/>
  <c r="O26" i="3"/>
  <c r="N26" i="3"/>
  <c r="M26" i="3"/>
  <c r="L26" i="3"/>
  <c r="K26" i="3"/>
  <c r="J26" i="3"/>
  <c r="Q25" i="3"/>
  <c r="P25" i="3"/>
  <c r="O25" i="3"/>
  <c r="N25" i="3"/>
  <c r="M25" i="3"/>
  <c r="L25" i="3"/>
  <c r="K25" i="3"/>
  <c r="J25" i="3"/>
  <c r="Q24" i="3"/>
  <c r="P24" i="3"/>
  <c r="O24" i="3"/>
  <c r="N24" i="3"/>
  <c r="M24" i="3"/>
  <c r="L24" i="3"/>
  <c r="K24" i="3"/>
  <c r="J24" i="3"/>
  <c r="Q23" i="3"/>
  <c r="P23" i="3"/>
  <c r="O23" i="3"/>
  <c r="N23" i="3"/>
  <c r="M23" i="3"/>
  <c r="L23" i="3"/>
  <c r="K23" i="3"/>
  <c r="J23" i="3"/>
  <c r="R23" i="3" s="1"/>
  <c r="S23" i="3" s="1"/>
  <c r="R24" i="3" l="1"/>
  <c r="S24" i="3" s="1"/>
  <c r="R26" i="3"/>
  <c r="S26" i="3" s="1"/>
  <c r="R27" i="3"/>
  <c r="S27" i="3" s="1"/>
  <c r="R28" i="3"/>
  <c r="S28" i="3" s="1"/>
  <c r="R29" i="3"/>
  <c r="S29" i="3" s="1"/>
  <c r="R30" i="3"/>
  <c r="S30" i="3" s="1"/>
  <c r="R34" i="3"/>
  <c r="S34" i="3" s="1"/>
  <c r="R35" i="3"/>
  <c r="S35" i="3" s="1"/>
  <c r="R36" i="3"/>
  <c r="S36" i="3" s="1"/>
  <c r="R37" i="3"/>
  <c r="S37" i="3" s="1"/>
  <c r="R38" i="3"/>
  <c r="S38" i="3" s="1"/>
  <c r="R39" i="3"/>
  <c r="S39" i="3" s="1"/>
  <c r="R40" i="3"/>
  <c r="S40" i="3" s="1"/>
  <c r="R41" i="3"/>
  <c r="S41" i="3" s="1"/>
  <c r="R42" i="3"/>
  <c r="S42" i="3" s="1"/>
  <c r="R25" i="3"/>
  <c r="S25" i="3" s="1"/>
  <c r="R20" i="10"/>
  <c r="S20" i="10" s="1"/>
  <c r="R21" i="10"/>
  <c r="S21" i="10" s="1"/>
  <c r="R22" i="10"/>
  <c r="S22" i="10" s="1"/>
  <c r="R23" i="10"/>
  <c r="S23" i="10" s="1"/>
  <c r="R24" i="10"/>
  <c r="S24" i="10" s="1"/>
  <c r="R25" i="10"/>
  <c r="S25" i="10" s="1"/>
  <c r="R26" i="10"/>
  <c r="S26" i="10" s="1"/>
  <c r="R27" i="10"/>
  <c r="S27" i="10" s="1"/>
  <c r="R28" i="10"/>
  <c r="S28" i="10" s="1"/>
  <c r="R29" i="10"/>
  <c r="S29" i="10" s="1"/>
  <c r="R30" i="10"/>
  <c r="S30" i="10" s="1"/>
  <c r="R31" i="10"/>
  <c r="S31" i="10" s="1"/>
  <c r="R32" i="10"/>
  <c r="S32" i="10" s="1"/>
  <c r="R33" i="10"/>
  <c r="S33" i="10" s="1"/>
  <c r="R34" i="10"/>
  <c r="S34" i="10" s="1"/>
  <c r="R35" i="10"/>
  <c r="S35" i="10" s="1"/>
  <c r="R36" i="10"/>
  <c r="S36" i="10" s="1"/>
  <c r="R37" i="10"/>
  <c r="S37" i="10" s="1"/>
  <c r="R38" i="10"/>
  <c r="S38" i="10" s="1"/>
  <c r="R39" i="10"/>
  <c r="S39" i="10" s="1"/>
  <c r="R40" i="10"/>
  <c r="S40" i="10" s="1"/>
  <c r="R41" i="10"/>
  <c r="S41" i="10" s="1"/>
  <c r="R42" i="10"/>
  <c r="S42" i="10" s="1"/>
  <c r="R3" i="9"/>
  <c r="S3" i="9" s="1"/>
  <c r="R4" i="9"/>
  <c r="S4" i="9" s="1"/>
  <c r="R5" i="9"/>
  <c r="S5" i="9" s="1"/>
  <c r="R6" i="9"/>
  <c r="S6" i="9" s="1"/>
  <c r="R7" i="9"/>
  <c r="S7" i="9" s="1"/>
  <c r="R8" i="9"/>
  <c r="S8" i="9" s="1"/>
  <c r="R9" i="9"/>
  <c r="S9" i="9" s="1"/>
  <c r="R10" i="9"/>
  <c r="S10" i="9" s="1"/>
  <c r="R11" i="9"/>
  <c r="S11" i="9" s="1"/>
  <c r="R12" i="9"/>
  <c r="S12" i="9" s="1"/>
  <c r="R13" i="9"/>
  <c r="S13" i="9" s="1"/>
  <c r="R14" i="9"/>
  <c r="S14" i="9" s="1"/>
  <c r="R12" i="8"/>
  <c r="S12" i="8" s="1"/>
  <c r="R13" i="8"/>
  <c r="S13" i="8" s="1"/>
  <c r="R14" i="8"/>
  <c r="S14" i="8" s="1"/>
  <c r="R15" i="8"/>
  <c r="S15" i="8" s="1"/>
  <c r="R29" i="8"/>
  <c r="S29" i="8" s="1"/>
  <c r="R30" i="8"/>
  <c r="S30" i="8" s="1"/>
  <c r="R31" i="8"/>
  <c r="S31" i="8" s="1"/>
  <c r="R32" i="8"/>
  <c r="S32" i="8" s="1"/>
  <c r="R33" i="8"/>
  <c r="S33" i="8" s="1"/>
  <c r="R34" i="8"/>
  <c r="S34" i="8" s="1"/>
  <c r="R35" i="8"/>
  <c r="S35" i="8" s="1"/>
  <c r="R36" i="8"/>
  <c r="S36" i="8" s="1"/>
  <c r="R37" i="8"/>
  <c r="S37" i="8" s="1"/>
  <c r="R38" i="8"/>
  <c r="S38" i="8" s="1"/>
  <c r="R39" i="8"/>
  <c r="S39" i="8" s="1"/>
  <c r="R40" i="8"/>
  <c r="S40" i="8" s="1"/>
  <c r="R41" i="8"/>
  <c r="S41" i="8" s="1"/>
  <c r="R42" i="8"/>
  <c r="S42" i="8" s="1"/>
  <c r="R39" i="2"/>
  <c r="S39" i="2" s="1"/>
  <c r="R35" i="2"/>
  <c r="S35" i="2" s="1"/>
  <c r="R31" i="2"/>
  <c r="S31" i="2" s="1"/>
  <c r="R27" i="2"/>
  <c r="S27" i="2" s="1"/>
  <c r="R23" i="2"/>
  <c r="S23" i="2" s="1"/>
  <c r="R19" i="2"/>
  <c r="S19" i="2" s="1"/>
  <c r="R15" i="2"/>
  <c r="S15" i="2" s="1"/>
  <c r="R11" i="2"/>
  <c r="S11" i="2" s="1"/>
  <c r="R7" i="2"/>
  <c r="S7" i="2" s="1"/>
  <c r="R3" i="2"/>
  <c r="S3" i="2" s="1"/>
  <c r="R41" i="2"/>
  <c r="S41" i="2" s="1"/>
  <c r="R37" i="2"/>
  <c r="S37" i="2" s="1"/>
  <c r="R33" i="2"/>
  <c r="S33" i="2" s="1"/>
  <c r="R29" i="2"/>
  <c r="S29" i="2" s="1"/>
  <c r="R25" i="2"/>
  <c r="S25" i="2" s="1"/>
  <c r="R21" i="2"/>
  <c r="S21" i="2" s="1"/>
  <c r="R17" i="2"/>
  <c r="S17" i="2" s="1"/>
  <c r="R13" i="2"/>
  <c r="S13" i="2" s="1"/>
  <c r="R9" i="2"/>
  <c r="S9" i="2" s="1"/>
  <c r="R5" i="2"/>
  <c r="S5" i="2" s="1"/>
  <c r="R33" i="3"/>
  <c r="S33" i="3" s="1"/>
  <c r="R15" i="9"/>
  <c r="S15" i="9" s="1"/>
  <c r="R16" i="9"/>
  <c r="S16" i="9" s="1"/>
  <c r="R17" i="9"/>
  <c r="S17" i="9" s="1"/>
  <c r="R18" i="9"/>
  <c r="S18" i="9" s="1"/>
  <c r="R19" i="9"/>
  <c r="S19" i="9" s="1"/>
  <c r="R20" i="9"/>
  <c r="S20" i="9" s="1"/>
  <c r="R21" i="9"/>
  <c r="S21" i="9" s="1"/>
  <c r="R22" i="9"/>
  <c r="S22" i="9" s="1"/>
  <c r="R23" i="9"/>
  <c r="S23" i="9" s="1"/>
  <c r="R24" i="9"/>
  <c r="S24" i="9" s="1"/>
  <c r="R25" i="9"/>
  <c r="S25" i="9" s="1"/>
  <c r="R26" i="9"/>
  <c r="S26" i="9" s="1"/>
  <c r="R27" i="9"/>
  <c r="S27" i="9" s="1"/>
  <c r="R28" i="9"/>
  <c r="S28" i="9" s="1"/>
  <c r="R29" i="9"/>
  <c r="S29" i="9" s="1"/>
  <c r="R30" i="9"/>
  <c r="S30" i="9" s="1"/>
  <c r="R31" i="9"/>
  <c r="S31" i="9" s="1"/>
  <c r="R32" i="9"/>
  <c r="S32" i="9" s="1"/>
  <c r="R16" i="8"/>
  <c r="S16" i="8" s="1"/>
  <c r="R17" i="8"/>
  <c r="S17" i="8" s="1"/>
  <c r="R18" i="8"/>
  <c r="S18" i="8" s="1"/>
  <c r="R19" i="8"/>
  <c r="S19" i="8" s="1"/>
  <c r="R20" i="8"/>
  <c r="S20" i="8" s="1"/>
  <c r="R21" i="8"/>
  <c r="S21" i="8" s="1"/>
  <c r="R22" i="8"/>
  <c r="S22" i="8" s="1"/>
  <c r="R23" i="8"/>
  <c r="S23" i="8" s="1"/>
  <c r="R24" i="8"/>
  <c r="S24" i="8" s="1"/>
  <c r="R25" i="8"/>
  <c r="S25" i="8" s="1"/>
  <c r="R26" i="8"/>
  <c r="S26" i="8" s="1"/>
  <c r="R27" i="8"/>
  <c r="S27" i="8" s="1"/>
  <c r="R28" i="8"/>
  <c r="S28" i="8" s="1"/>
  <c r="R4" i="6"/>
  <c r="R3" i="5"/>
  <c r="S3" i="5" s="1"/>
  <c r="R4" i="5"/>
  <c r="S4" i="5" s="1"/>
  <c r="R5" i="5"/>
  <c r="S5" i="5" s="1"/>
  <c r="R6" i="5"/>
  <c r="S6" i="5" s="1"/>
  <c r="R7" i="5"/>
  <c r="S7" i="5" s="1"/>
  <c r="R8" i="5"/>
  <c r="S8" i="5" s="1"/>
  <c r="R9" i="5"/>
  <c r="S9" i="5" s="1"/>
  <c r="R10" i="5"/>
  <c r="S10" i="5" s="1"/>
  <c r="R11" i="5"/>
  <c r="S11" i="5" s="1"/>
  <c r="R12" i="5"/>
  <c r="S12" i="5" s="1"/>
  <c r="R13" i="5"/>
  <c r="S13" i="5" s="1"/>
  <c r="R14" i="5"/>
  <c r="S14" i="5" s="1"/>
  <c r="R15" i="5"/>
  <c r="S15" i="5" s="1"/>
  <c r="R16" i="5"/>
  <c r="S16" i="5" s="1"/>
  <c r="R17" i="5"/>
  <c r="S17" i="5" s="1"/>
  <c r="R18" i="5"/>
  <c r="S18" i="5" s="1"/>
  <c r="R19" i="5"/>
  <c r="S19" i="5" s="1"/>
  <c r="R20" i="5"/>
  <c r="S20" i="5" s="1"/>
  <c r="R21" i="5"/>
  <c r="S21" i="5" s="1"/>
  <c r="R22" i="5"/>
  <c r="S22" i="5" s="1"/>
</calcChain>
</file>

<file path=xl/sharedStrings.xml><?xml version="1.0" encoding="utf-8"?>
<sst xmlns="http://schemas.openxmlformats.org/spreadsheetml/2006/main" count="675" uniqueCount="61">
  <si>
    <t>fhog0</t>
  </si>
  <si>
    <t>fhog1</t>
  </si>
  <si>
    <t>fhog2</t>
  </si>
  <si>
    <t>fhog3</t>
  </si>
  <si>
    <t>fhog4</t>
  </si>
  <si>
    <t>fhog5</t>
  </si>
  <si>
    <t>fhog6</t>
  </si>
  <si>
    <t>fhog7</t>
  </si>
  <si>
    <t>label</t>
  </si>
  <si>
    <t>nearest</t>
  </si>
  <si>
    <t>x1-y1^2</t>
  </si>
  <si>
    <t>x2-y2^2</t>
  </si>
  <si>
    <t>x3-y3^2</t>
  </si>
  <si>
    <t>x4-y4^2</t>
  </si>
  <si>
    <t>x5-y5^2</t>
  </si>
  <si>
    <t>sqrt(R)</t>
  </si>
  <si>
    <t>sum(J:Q)</t>
  </si>
  <si>
    <t>x0-y0^2</t>
  </si>
  <si>
    <t>x6-y6^2</t>
  </si>
  <si>
    <t>x7-y7^2</t>
  </si>
  <si>
    <t>dataTest_slic_lv30%_knn</t>
  </si>
  <si>
    <t>dataTrain_slic_lv30%_knn</t>
  </si>
  <si>
    <t>dataTest_hog_lv10%_knn</t>
  </si>
  <si>
    <t>dataTest_hog_lv20%_knn</t>
  </si>
  <si>
    <t>dataTest_hog_lv30%_knn</t>
  </si>
  <si>
    <t>dataTest_slic_lv20%_knn</t>
  </si>
  <si>
    <t>dataTrain_slic_lv20%_knn</t>
  </si>
  <si>
    <t>dataTrain_slic_lv10%_knn</t>
  </si>
  <si>
    <t>dataTest_slic_lv10%_knn</t>
  </si>
  <si>
    <t>dataTrain_pca_lv30%_knn</t>
  </si>
  <si>
    <t>dataTest_pca_lv30%_knn</t>
  </si>
  <si>
    <t>dataTrain_pca_lv20%_knn</t>
  </si>
  <si>
    <t>dataTest_pca_lv20%_knn</t>
  </si>
  <si>
    <t>dataTrain_pca_lv10%_knn</t>
  </si>
  <si>
    <t>dataTest_pca_lv10%_knn</t>
  </si>
  <si>
    <t>fpca0</t>
  </si>
  <si>
    <t>fpca1</t>
  </si>
  <si>
    <t>fpca2</t>
  </si>
  <si>
    <t>fpca3</t>
  </si>
  <si>
    <t>fpca4</t>
  </si>
  <si>
    <t>fpca5</t>
  </si>
  <si>
    <t>fpca6</t>
  </si>
  <si>
    <t>fpca7</t>
  </si>
  <si>
    <t>fslic0</t>
  </si>
  <si>
    <t>fslic1</t>
  </si>
  <si>
    <t>fslic2</t>
  </si>
  <si>
    <t>fslic3</t>
  </si>
  <si>
    <t>fslic4</t>
  </si>
  <si>
    <t>fslic5</t>
  </si>
  <si>
    <t>fslic6</t>
  </si>
  <si>
    <t>fslic7</t>
  </si>
  <si>
    <t>jarak</t>
  </si>
  <si>
    <t>dataTrain_hog_lv30%_knn</t>
  </si>
  <si>
    <t>dataTrain_hog_lv20%_knn</t>
  </si>
  <si>
    <t>dataTrain_hog_lv10%_knn</t>
  </si>
  <si>
    <t>label_inNearest</t>
  </si>
  <si>
    <t>sumLabel_0</t>
  </si>
  <si>
    <t>sumLabel_1</t>
  </si>
  <si>
    <t>k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</si>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</sst>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NumberFormat="1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0" fillId="0" borderId="1" xfId="1" applyNumberFormat="1" applyFont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164" fontId="0" fillId="3" borderId="1" xfId="1" applyNumberFormat="1" applyFont="1" applyFill="1" applyBorder="1" applyAlignment="1">
      <alignment horizontal="right"/>
    </xf>
    <xf numFmtId="164" fontId="0" fillId="4" borderId="1" xfId="1" applyNumberFormat="1" applyFont="1" applyFill="1" applyBorder="1" applyAlignment="1">
      <alignment horizontal="right"/>
    </xf>
    <xf numFmtId="164" fontId="4" fillId="2" borderId="1" xfId="1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5" borderId="1" xfId="0" applyFill="1" applyBorder="1"/>
    <xf numFmtId="164" fontId="0" fillId="5" borderId="1" xfId="1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top"/>
    </xf>
    <xf numFmtId="0" fontId="4" fillId="2" borderId="1" xfId="0" applyNumberFormat="1" applyFont="1" applyFill="1" applyBorder="1" applyAlignment="1">
      <alignment horizontal="center" vertical="top"/>
    </xf>
    <xf numFmtId="0" fontId="0" fillId="3" borderId="1" xfId="0" applyNumberFormat="1" applyFill="1" applyBorder="1"/>
    <xf numFmtId="0" fontId="0" fillId="0" borderId="1" xfId="0" applyNumberFormat="1" applyBorder="1"/>
    <xf numFmtId="0" fontId="0" fillId="4" borderId="1" xfId="0" applyNumberFormat="1" applyFill="1" applyBorder="1"/>
    <xf numFmtId="0" fontId="0" fillId="0" borderId="1" xfId="0" applyFill="1" applyBorder="1"/>
    <xf numFmtId="0" fontId="0" fillId="0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4E49-C64E-4792-8AE0-FD53751077A0}">
  <dimension ref="A1:X84"/>
  <sheetViews>
    <sheetView zoomScale="70" zoomScaleNormal="70" zoomScalePageLayoutView="60" workbookViewId="0"/>
  </sheetViews>
  <sheetFormatPr defaultRowHeight="15" x14ac:dyDescent="0.25"/>
  <cols>
    <col min="9" max="9" width="7.28515625" bestFit="1" customWidth="1"/>
    <col min="10" max="10" width="11.42578125" style="1" bestFit="1" customWidth="1"/>
    <col min="11" max="11" width="10.5703125" style="1" bestFit="1" customWidth="1"/>
    <col min="12" max="12" width="10.7109375" style="1" customWidth="1"/>
    <col min="13" max="13" width="8.7109375" bestFit="1" customWidth="1"/>
    <col min="14" max="15" width="10.7109375" customWidth="1"/>
    <col min="16" max="17" width="9.140625" bestFit="1" customWidth="1"/>
    <col min="18" max="18" width="11.7109375" bestFit="1" customWidth="1"/>
    <col min="19" max="19" width="9.7109375" customWidth="1"/>
    <col min="20" max="20" width="10.28515625" bestFit="1" customWidth="1"/>
    <col min="21" max="21" width="7.7109375" customWidth="1"/>
    <col min="22" max="23" width="5.85546875" customWidth="1"/>
    <col min="24" max="24" width="3.85546875" bestFit="1" customWidth="1"/>
  </cols>
  <sheetData>
    <row r="1" spans="1:24" x14ac:dyDescent="0.25">
      <c r="A1" t="s">
        <v>52</v>
      </c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4" t="s">
        <v>9</v>
      </c>
      <c r="U2" s="4" t="s">
        <v>55</v>
      </c>
      <c r="V2" s="4" t="s">
        <v>56</v>
      </c>
      <c r="W2" s="4" t="s">
        <v>57</v>
      </c>
      <c r="X2" s="4" t="s">
        <v>58</v>
      </c>
    </row>
    <row r="3" spans="1:24" x14ac:dyDescent="0.25">
      <c r="A3" s="8">
        <v>1432</v>
      </c>
      <c r="B3" s="8">
        <v>1487</v>
      </c>
      <c r="C3" s="8">
        <v>727</v>
      </c>
      <c r="D3" s="8">
        <v>201</v>
      </c>
      <c r="E3" s="8">
        <v>156</v>
      </c>
      <c r="F3" s="8">
        <v>37</v>
      </c>
      <c r="G3" s="8">
        <v>42</v>
      </c>
      <c r="H3" s="8">
        <v>14</v>
      </c>
      <c r="I3" s="8">
        <v>0</v>
      </c>
      <c r="J3" s="10">
        <f t="shared" ref="J3:Q3" si="0">SUMSQ(A3-A45)</f>
        <v>50176</v>
      </c>
      <c r="K3" s="10">
        <f t="shared" si="0"/>
        <v>30625</v>
      </c>
      <c r="L3" s="10">
        <f t="shared" si="0"/>
        <v>7921</v>
      </c>
      <c r="M3" s="8">
        <f t="shared" si="0"/>
        <v>2304</v>
      </c>
      <c r="N3" s="10">
        <f t="shared" si="0"/>
        <v>2025</v>
      </c>
      <c r="O3" s="10">
        <f t="shared" si="0"/>
        <v>1444</v>
      </c>
      <c r="P3" s="10">
        <f t="shared" si="0"/>
        <v>9</v>
      </c>
      <c r="Q3" s="10">
        <f t="shared" si="0"/>
        <v>16</v>
      </c>
      <c r="R3" s="10">
        <f>SUM(J3:Q3)</f>
        <v>94520</v>
      </c>
      <c r="S3" s="10">
        <f t="shared" ref="S3:S42" si="1">SQRT(R3)</f>
        <v>307.44105126023754</v>
      </c>
      <c r="T3" s="8">
        <v>18</v>
      </c>
      <c r="U3" s="8" t="s">
        <v>59</v>
      </c>
      <c r="V3" s="8">
        <v>19</v>
      </c>
      <c r="W3" s="8">
        <v>16</v>
      </c>
      <c r="X3" s="8">
        <v>35</v>
      </c>
    </row>
    <row r="4" spans="1:24" x14ac:dyDescent="0.25">
      <c r="A4" s="8">
        <v>1912</v>
      </c>
      <c r="B4" s="8">
        <v>1262</v>
      </c>
      <c r="C4" s="8">
        <v>520</v>
      </c>
      <c r="D4" s="8">
        <v>235</v>
      </c>
      <c r="E4" s="8">
        <v>97</v>
      </c>
      <c r="F4" s="8">
        <v>24</v>
      </c>
      <c r="G4" s="8">
        <v>41</v>
      </c>
      <c r="H4" s="8">
        <v>5</v>
      </c>
      <c r="I4" s="8">
        <v>0</v>
      </c>
      <c r="J4" s="10">
        <f t="shared" ref="J4:J42" si="2">SUMSQ(A4-A46)</f>
        <v>65536</v>
      </c>
      <c r="K4" s="10">
        <f t="shared" ref="K4:K42" si="3">SUMSQ(B4-B46)</f>
        <v>2500</v>
      </c>
      <c r="L4" s="10">
        <f t="shared" ref="L4:L42" si="4">SUMSQ(C4-C46)</f>
        <v>13924</v>
      </c>
      <c r="M4" s="8">
        <f t="shared" ref="M4:M42" si="5">SUMSQ(D4-D46)</f>
        <v>196</v>
      </c>
      <c r="N4" s="10">
        <f t="shared" ref="N4:N42" si="6">SUMSQ(E4-E46)</f>
        <v>196</v>
      </c>
      <c r="O4" s="10">
        <f t="shared" ref="O4:O42" si="7">SUMSQ(F4-F46)</f>
        <v>2601</v>
      </c>
      <c r="P4" s="10">
        <f t="shared" ref="P4:P42" si="8">SUMSQ(G4-G46)</f>
        <v>16</v>
      </c>
      <c r="Q4" s="10">
        <f t="shared" ref="Q4:Q42" si="9">SUMSQ(H4-H46)</f>
        <v>25</v>
      </c>
      <c r="R4" s="10">
        <f t="shared" ref="R4:R42" si="10">SUM(J4:Q4)</f>
        <v>84994</v>
      </c>
      <c r="S4" s="10">
        <f t="shared" si="1"/>
        <v>291.53730464556332</v>
      </c>
      <c r="T4" s="8">
        <v>17</v>
      </c>
      <c r="U4" s="8" t="s">
        <v>59</v>
      </c>
      <c r="V4" s="8">
        <v>19</v>
      </c>
      <c r="W4" s="8">
        <v>16</v>
      </c>
      <c r="X4" s="8">
        <v>35</v>
      </c>
    </row>
    <row r="5" spans="1:24" x14ac:dyDescent="0.25">
      <c r="A5" s="8">
        <v>1627</v>
      </c>
      <c r="B5" s="8">
        <v>1338</v>
      </c>
      <c r="C5" s="8">
        <v>639</v>
      </c>
      <c r="D5" s="8">
        <v>279</v>
      </c>
      <c r="E5" s="8">
        <v>114</v>
      </c>
      <c r="F5" s="8">
        <v>72</v>
      </c>
      <c r="G5" s="8">
        <v>12</v>
      </c>
      <c r="H5" s="8">
        <v>15</v>
      </c>
      <c r="I5" s="8">
        <v>0</v>
      </c>
      <c r="J5" s="10">
        <f t="shared" si="2"/>
        <v>841</v>
      </c>
      <c r="K5" s="10">
        <f t="shared" si="3"/>
        <v>676</v>
      </c>
      <c r="L5" s="10">
        <f t="shared" si="4"/>
        <v>1</v>
      </c>
      <c r="M5" s="8">
        <f t="shared" si="5"/>
        <v>900</v>
      </c>
      <c r="N5" s="10">
        <f t="shared" si="6"/>
        <v>9</v>
      </c>
      <c r="O5" s="10">
        <f t="shared" si="7"/>
        <v>9</v>
      </c>
      <c r="P5" s="10">
        <f t="shared" si="8"/>
        <v>1089</v>
      </c>
      <c r="Q5" s="10">
        <f t="shared" si="9"/>
        <v>25</v>
      </c>
      <c r="R5" s="10">
        <f t="shared" si="10"/>
        <v>3550</v>
      </c>
      <c r="S5" s="10">
        <f t="shared" si="1"/>
        <v>59.581876439064928</v>
      </c>
      <c r="T5" s="8">
        <v>1</v>
      </c>
      <c r="U5" s="8" t="s">
        <v>59</v>
      </c>
      <c r="V5" s="8">
        <v>19</v>
      </c>
      <c r="W5" s="8">
        <v>16</v>
      </c>
      <c r="X5" s="8">
        <v>35</v>
      </c>
    </row>
    <row r="6" spans="1:24" x14ac:dyDescent="0.25">
      <c r="A6" s="8">
        <v>1233</v>
      </c>
      <c r="B6" s="8">
        <v>1252</v>
      </c>
      <c r="C6" s="8">
        <v>830</v>
      </c>
      <c r="D6" s="8">
        <v>418</v>
      </c>
      <c r="E6" s="8">
        <v>239</v>
      </c>
      <c r="F6" s="8">
        <v>77</v>
      </c>
      <c r="G6" s="8">
        <v>23</v>
      </c>
      <c r="H6" s="8">
        <v>24</v>
      </c>
      <c r="I6" s="8">
        <v>0</v>
      </c>
      <c r="J6" s="10">
        <f t="shared" si="2"/>
        <v>178929</v>
      </c>
      <c r="K6" s="10">
        <f t="shared" si="3"/>
        <v>3600</v>
      </c>
      <c r="L6" s="10">
        <f t="shared" si="4"/>
        <v>36864</v>
      </c>
      <c r="M6" s="8">
        <f t="shared" si="5"/>
        <v>28561</v>
      </c>
      <c r="N6" s="10">
        <f t="shared" si="6"/>
        <v>16384</v>
      </c>
      <c r="O6" s="10">
        <f t="shared" si="7"/>
        <v>4</v>
      </c>
      <c r="P6" s="10">
        <f t="shared" si="8"/>
        <v>484</v>
      </c>
      <c r="Q6" s="10">
        <f t="shared" si="9"/>
        <v>196</v>
      </c>
      <c r="R6" s="10">
        <f t="shared" si="10"/>
        <v>265022</v>
      </c>
      <c r="S6" s="10">
        <f t="shared" si="1"/>
        <v>514.80287489484749</v>
      </c>
      <c r="T6" s="8">
        <v>30</v>
      </c>
      <c r="U6" s="8" t="s">
        <v>59</v>
      </c>
      <c r="V6" s="8">
        <v>19</v>
      </c>
      <c r="W6" s="8">
        <v>16</v>
      </c>
      <c r="X6" s="8">
        <v>35</v>
      </c>
    </row>
    <row r="7" spans="1:24" x14ac:dyDescent="0.25">
      <c r="A7" s="8">
        <v>1216</v>
      </c>
      <c r="B7" s="8">
        <v>1275</v>
      </c>
      <c r="C7" s="8">
        <v>934</v>
      </c>
      <c r="D7" s="8">
        <v>354</v>
      </c>
      <c r="E7" s="8">
        <v>170</v>
      </c>
      <c r="F7" s="8">
        <v>86</v>
      </c>
      <c r="G7" s="8">
        <v>46</v>
      </c>
      <c r="H7" s="8">
        <v>15</v>
      </c>
      <c r="I7" s="8">
        <v>0</v>
      </c>
      <c r="J7" s="10">
        <f t="shared" si="2"/>
        <v>193600</v>
      </c>
      <c r="K7" s="10">
        <f t="shared" si="3"/>
        <v>1369</v>
      </c>
      <c r="L7" s="10">
        <f t="shared" si="4"/>
        <v>87616</v>
      </c>
      <c r="M7" s="8">
        <f t="shared" si="5"/>
        <v>11025</v>
      </c>
      <c r="N7" s="10">
        <f t="shared" si="6"/>
        <v>3481</v>
      </c>
      <c r="O7" s="10">
        <f t="shared" si="7"/>
        <v>121</v>
      </c>
      <c r="P7" s="10">
        <f t="shared" si="8"/>
        <v>1</v>
      </c>
      <c r="Q7" s="10">
        <f t="shared" si="9"/>
        <v>25</v>
      </c>
      <c r="R7" s="10">
        <f t="shared" si="10"/>
        <v>297238</v>
      </c>
      <c r="S7" s="10">
        <f t="shared" si="1"/>
        <v>545.19537782340012</v>
      </c>
      <c r="T7" s="8">
        <v>32</v>
      </c>
      <c r="U7" s="8" t="s">
        <v>59</v>
      </c>
      <c r="V7" s="8">
        <v>19</v>
      </c>
      <c r="W7" s="8">
        <v>16</v>
      </c>
      <c r="X7" s="8">
        <v>35</v>
      </c>
    </row>
    <row r="8" spans="1:24" x14ac:dyDescent="0.25">
      <c r="A8" s="8">
        <v>1777</v>
      </c>
      <c r="B8" s="8">
        <v>1290</v>
      </c>
      <c r="C8" s="8">
        <v>653</v>
      </c>
      <c r="D8" s="8">
        <v>235</v>
      </c>
      <c r="E8" s="8">
        <v>97</v>
      </c>
      <c r="F8" s="8">
        <v>22</v>
      </c>
      <c r="G8" s="8">
        <v>4</v>
      </c>
      <c r="H8" s="8">
        <v>18</v>
      </c>
      <c r="I8" s="8">
        <v>0</v>
      </c>
      <c r="J8" s="10">
        <f t="shared" si="2"/>
        <v>14641</v>
      </c>
      <c r="K8" s="10">
        <f t="shared" si="3"/>
        <v>484</v>
      </c>
      <c r="L8" s="10">
        <f t="shared" si="4"/>
        <v>225</v>
      </c>
      <c r="M8" s="8">
        <f t="shared" si="5"/>
        <v>196</v>
      </c>
      <c r="N8" s="10">
        <f t="shared" si="6"/>
        <v>196</v>
      </c>
      <c r="O8" s="10">
        <f t="shared" si="7"/>
        <v>2809</v>
      </c>
      <c r="P8" s="10">
        <f t="shared" si="8"/>
        <v>1681</v>
      </c>
      <c r="Q8" s="10">
        <f t="shared" si="9"/>
        <v>64</v>
      </c>
      <c r="R8" s="10">
        <f t="shared" si="10"/>
        <v>20296</v>
      </c>
      <c r="S8" s="10">
        <f t="shared" si="1"/>
        <v>142.46403054806501</v>
      </c>
      <c r="T8" s="8">
        <v>4</v>
      </c>
      <c r="U8" s="8" t="s">
        <v>59</v>
      </c>
      <c r="V8" s="8">
        <v>19</v>
      </c>
      <c r="W8" s="8">
        <v>16</v>
      </c>
      <c r="X8" s="8">
        <v>35</v>
      </c>
    </row>
    <row r="9" spans="1:24" x14ac:dyDescent="0.25">
      <c r="A9" s="8">
        <v>1205</v>
      </c>
      <c r="B9" s="8">
        <v>1442</v>
      </c>
      <c r="C9" s="8">
        <v>876</v>
      </c>
      <c r="D9" s="8">
        <v>349</v>
      </c>
      <c r="E9" s="8">
        <v>125</v>
      </c>
      <c r="F9" s="8">
        <v>56</v>
      </c>
      <c r="G9" s="8">
        <v>26</v>
      </c>
      <c r="H9" s="8">
        <v>17</v>
      </c>
      <c r="I9" s="8">
        <v>0</v>
      </c>
      <c r="J9" s="10">
        <f t="shared" si="2"/>
        <v>203401</v>
      </c>
      <c r="K9" s="10">
        <f t="shared" si="3"/>
        <v>16900</v>
      </c>
      <c r="L9" s="10">
        <f t="shared" si="4"/>
        <v>56644</v>
      </c>
      <c r="M9" s="8">
        <f t="shared" si="5"/>
        <v>10000</v>
      </c>
      <c r="N9" s="10">
        <f t="shared" si="6"/>
        <v>196</v>
      </c>
      <c r="O9" s="10">
        <f t="shared" si="7"/>
        <v>361</v>
      </c>
      <c r="P9" s="10">
        <f t="shared" si="8"/>
        <v>361</v>
      </c>
      <c r="Q9" s="10">
        <f t="shared" si="9"/>
        <v>49</v>
      </c>
      <c r="R9" s="10">
        <f t="shared" si="10"/>
        <v>287912</v>
      </c>
      <c r="S9" s="10">
        <f t="shared" si="1"/>
        <v>536.57431917675672</v>
      </c>
      <c r="T9" s="8">
        <v>31</v>
      </c>
      <c r="U9" s="8" t="s">
        <v>59</v>
      </c>
      <c r="V9" s="8">
        <v>19</v>
      </c>
      <c r="W9" s="8">
        <v>16</v>
      </c>
      <c r="X9" s="8">
        <v>35</v>
      </c>
    </row>
    <row r="10" spans="1:24" x14ac:dyDescent="0.25">
      <c r="A10" s="8">
        <v>1425</v>
      </c>
      <c r="B10" s="8">
        <v>1270</v>
      </c>
      <c r="C10" s="8">
        <v>828</v>
      </c>
      <c r="D10" s="8">
        <v>345</v>
      </c>
      <c r="E10" s="8">
        <v>84</v>
      </c>
      <c r="F10" s="8">
        <v>84</v>
      </c>
      <c r="G10" s="8">
        <v>39</v>
      </c>
      <c r="H10" s="8">
        <v>21</v>
      </c>
      <c r="I10" s="8">
        <v>0</v>
      </c>
      <c r="J10" s="10">
        <f t="shared" si="2"/>
        <v>53361</v>
      </c>
      <c r="K10" s="10">
        <f t="shared" si="3"/>
        <v>1764</v>
      </c>
      <c r="L10" s="10">
        <f t="shared" si="4"/>
        <v>36100</v>
      </c>
      <c r="M10" s="8">
        <f t="shared" si="5"/>
        <v>9216</v>
      </c>
      <c r="N10" s="10">
        <f t="shared" si="6"/>
        <v>729</v>
      </c>
      <c r="O10" s="10">
        <f t="shared" si="7"/>
        <v>81</v>
      </c>
      <c r="P10" s="10">
        <f t="shared" si="8"/>
        <v>36</v>
      </c>
      <c r="Q10" s="10">
        <f t="shared" si="9"/>
        <v>121</v>
      </c>
      <c r="R10" s="10">
        <f t="shared" si="10"/>
        <v>101408</v>
      </c>
      <c r="S10" s="10">
        <f t="shared" si="1"/>
        <v>318.44622779992227</v>
      </c>
      <c r="T10" s="8">
        <v>19</v>
      </c>
      <c r="U10" s="8" t="s">
        <v>59</v>
      </c>
      <c r="V10" s="8">
        <v>19</v>
      </c>
      <c r="W10" s="8">
        <v>16</v>
      </c>
      <c r="X10" s="8">
        <v>35</v>
      </c>
    </row>
    <row r="11" spans="1:24" x14ac:dyDescent="0.25">
      <c r="A11" s="2">
        <v>2455</v>
      </c>
      <c r="B11" s="2">
        <v>1112</v>
      </c>
      <c r="C11" s="2">
        <v>343</v>
      </c>
      <c r="D11" s="2">
        <v>133</v>
      </c>
      <c r="E11" s="2">
        <v>37</v>
      </c>
      <c r="F11" s="2">
        <v>8</v>
      </c>
      <c r="G11" s="2">
        <v>4</v>
      </c>
      <c r="H11" s="2">
        <v>4</v>
      </c>
      <c r="I11" s="2">
        <v>0</v>
      </c>
      <c r="J11" s="7">
        <f t="shared" si="2"/>
        <v>638401</v>
      </c>
      <c r="K11" s="7">
        <f t="shared" si="3"/>
        <v>40000</v>
      </c>
      <c r="L11" s="7">
        <f t="shared" si="4"/>
        <v>87025</v>
      </c>
      <c r="M11" s="2">
        <f t="shared" si="5"/>
        <v>13456</v>
      </c>
      <c r="N11" s="7">
        <f t="shared" si="6"/>
        <v>5476</v>
      </c>
      <c r="O11" s="7">
        <f t="shared" si="7"/>
        <v>4489</v>
      </c>
      <c r="P11" s="7">
        <f t="shared" si="8"/>
        <v>1681</v>
      </c>
      <c r="Q11" s="7">
        <f t="shared" si="9"/>
        <v>36</v>
      </c>
      <c r="R11" s="7">
        <f t="shared" si="10"/>
        <v>790564</v>
      </c>
      <c r="S11" s="7">
        <f t="shared" si="1"/>
        <v>889.13665991229936</v>
      </c>
      <c r="T11" s="2">
        <v>40</v>
      </c>
      <c r="U11" s="2" t="s">
        <v>60</v>
      </c>
      <c r="V11" s="2">
        <v>19</v>
      </c>
      <c r="W11" s="2">
        <v>16</v>
      </c>
      <c r="X11" s="2">
        <v>35</v>
      </c>
    </row>
    <row r="12" spans="1:24" x14ac:dyDescent="0.25">
      <c r="A12" s="8">
        <v>1233</v>
      </c>
      <c r="B12" s="8">
        <v>1277</v>
      </c>
      <c r="C12" s="8">
        <v>772</v>
      </c>
      <c r="D12" s="8">
        <v>412</v>
      </c>
      <c r="E12" s="8">
        <v>215</v>
      </c>
      <c r="F12" s="8">
        <v>99</v>
      </c>
      <c r="G12" s="8">
        <v>48</v>
      </c>
      <c r="H12" s="8">
        <v>40</v>
      </c>
      <c r="I12" s="8">
        <v>0</v>
      </c>
      <c r="J12" s="10">
        <f t="shared" si="2"/>
        <v>178929</v>
      </c>
      <c r="K12" s="10">
        <f t="shared" si="3"/>
        <v>1225</v>
      </c>
      <c r="L12" s="10">
        <f t="shared" si="4"/>
        <v>17956</v>
      </c>
      <c r="M12" s="8">
        <f t="shared" si="5"/>
        <v>26569</v>
      </c>
      <c r="N12" s="10">
        <f t="shared" si="6"/>
        <v>10816</v>
      </c>
      <c r="O12" s="10">
        <f t="shared" si="7"/>
        <v>576</v>
      </c>
      <c r="P12" s="10">
        <f t="shared" si="8"/>
        <v>9</v>
      </c>
      <c r="Q12" s="10">
        <f t="shared" si="9"/>
        <v>900</v>
      </c>
      <c r="R12" s="10">
        <f t="shared" si="10"/>
        <v>236980</v>
      </c>
      <c r="S12" s="10">
        <f t="shared" si="1"/>
        <v>486.80591615139599</v>
      </c>
      <c r="T12" s="8">
        <v>29</v>
      </c>
      <c r="U12" s="8" t="s">
        <v>59</v>
      </c>
      <c r="V12" s="8">
        <v>19</v>
      </c>
      <c r="W12" s="8">
        <v>16</v>
      </c>
      <c r="X12" s="8">
        <v>35</v>
      </c>
    </row>
    <row r="13" spans="1:24" x14ac:dyDescent="0.25">
      <c r="A13" s="8">
        <v>1442</v>
      </c>
      <c r="B13" s="8">
        <v>1338</v>
      </c>
      <c r="C13" s="8">
        <v>736</v>
      </c>
      <c r="D13" s="8">
        <v>331</v>
      </c>
      <c r="E13" s="8">
        <v>110</v>
      </c>
      <c r="F13" s="8">
        <v>80</v>
      </c>
      <c r="G13" s="8">
        <v>21</v>
      </c>
      <c r="H13" s="8">
        <v>38</v>
      </c>
      <c r="I13" s="8">
        <v>0</v>
      </c>
      <c r="J13" s="10">
        <f t="shared" si="2"/>
        <v>45796</v>
      </c>
      <c r="K13" s="10">
        <f t="shared" si="3"/>
        <v>676</v>
      </c>
      <c r="L13" s="10">
        <f t="shared" si="4"/>
        <v>9604</v>
      </c>
      <c r="M13" s="8">
        <f t="shared" si="5"/>
        <v>6724</v>
      </c>
      <c r="N13" s="10">
        <f t="shared" si="6"/>
        <v>1</v>
      </c>
      <c r="O13" s="10">
        <f t="shared" si="7"/>
        <v>25</v>
      </c>
      <c r="P13" s="10">
        <f t="shared" si="8"/>
        <v>576</v>
      </c>
      <c r="Q13" s="10">
        <f t="shared" si="9"/>
        <v>784</v>
      </c>
      <c r="R13" s="10">
        <f t="shared" si="10"/>
        <v>64186</v>
      </c>
      <c r="S13" s="10">
        <f t="shared" si="1"/>
        <v>253.3495608837718</v>
      </c>
      <c r="T13" s="8">
        <v>11</v>
      </c>
      <c r="U13" s="8" t="s">
        <v>59</v>
      </c>
      <c r="V13" s="8">
        <v>19</v>
      </c>
      <c r="W13" s="8">
        <v>16</v>
      </c>
      <c r="X13" s="8">
        <v>35</v>
      </c>
    </row>
    <row r="14" spans="1:24" x14ac:dyDescent="0.25">
      <c r="A14" s="8">
        <v>1495</v>
      </c>
      <c r="B14" s="8">
        <v>1400</v>
      </c>
      <c r="C14" s="8">
        <v>709</v>
      </c>
      <c r="D14" s="8">
        <v>286</v>
      </c>
      <c r="E14" s="8">
        <v>132</v>
      </c>
      <c r="F14" s="8">
        <v>42</v>
      </c>
      <c r="G14" s="8">
        <v>20</v>
      </c>
      <c r="H14" s="8">
        <v>12</v>
      </c>
      <c r="I14" s="8">
        <v>0</v>
      </c>
      <c r="J14" s="10">
        <f t="shared" si="2"/>
        <v>25921</v>
      </c>
      <c r="K14" s="10">
        <f t="shared" si="3"/>
        <v>7744</v>
      </c>
      <c r="L14" s="10">
        <f t="shared" si="4"/>
        <v>5041</v>
      </c>
      <c r="M14" s="8">
        <f t="shared" si="5"/>
        <v>1369</v>
      </c>
      <c r="N14" s="10">
        <f t="shared" si="6"/>
        <v>441</v>
      </c>
      <c r="O14" s="10">
        <f t="shared" si="7"/>
        <v>1089</v>
      </c>
      <c r="P14" s="10">
        <f t="shared" si="8"/>
        <v>625</v>
      </c>
      <c r="Q14" s="10">
        <f t="shared" si="9"/>
        <v>4</v>
      </c>
      <c r="R14" s="10">
        <f t="shared" si="10"/>
        <v>42234</v>
      </c>
      <c r="S14" s="10">
        <f t="shared" si="1"/>
        <v>205.50912388504798</v>
      </c>
      <c r="T14" s="8">
        <v>7</v>
      </c>
      <c r="U14" s="8" t="s">
        <v>59</v>
      </c>
      <c r="V14" s="8">
        <v>19</v>
      </c>
      <c r="W14" s="8">
        <v>16</v>
      </c>
      <c r="X14" s="8">
        <v>35</v>
      </c>
    </row>
    <row r="15" spans="1:24" x14ac:dyDescent="0.25">
      <c r="A15" s="8">
        <v>1984</v>
      </c>
      <c r="B15" s="8">
        <v>1303</v>
      </c>
      <c r="C15" s="8">
        <v>564</v>
      </c>
      <c r="D15" s="8">
        <v>131</v>
      </c>
      <c r="E15" s="8">
        <v>43</v>
      </c>
      <c r="F15" s="8">
        <v>53</v>
      </c>
      <c r="G15" s="8">
        <v>11</v>
      </c>
      <c r="H15" s="8">
        <v>7</v>
      </c>
      <c r="I15" s="8">
        <v>0</v>
      </c>
      <c r="J15" s="10">
        <f t="shared" si="2"/>
        <v>107584</v>
      </c>
      <c r="K15" s="10">
        <f t="shared" si="3"/>
        <v>81</v>
      </c>
      <c r="L15" s="10">
        <f t="shared" si="4"/>
        <v>5476</v>
      </c>
      <c r="M15" s="8">
        <f t="shared" si="5"/>
        <v>13924</v>
      </c>
      <c r="N15" s="10">
        <f t="shared" si="6"/>
        <v>4624</v>
      </c>
      <c r="O15" s="10">
        <f t="shared" si="7"/>
        <v>484</v>
      </c>
      <c r="P15" s="10">
        <f t="shared" si="8"/>
        <v>1156</v>
      </c>
      <c r="Q15" s="10">
        <f t="shared" si="9"/>
        <v>9</v>
      </c>
      <c r="R15" s="10">
        <f t="shared" si="10"/>
        <v>133338</v>
      </c>
      <c r="S15" s="10">
        <f t="shared" si="1"/>
        <v>365.15476171070259</v>
      </c>
      <c r="T15" s="8">
        <v>21</v>
      </c>
      <c r="U15" s="8" t="s">
        <v>59</v>
      </c>
      <c r="V15" s="8">
        <v>19</v>
      </c>
      <c r="W15" s="8">
        <v>16</v>
      </c>
      <c r="X15" s="8">
        <v>35</v>
      </c>
    </row>
    <row r="16" spans="1:24" x14ac:dyDescent="0.25">
      <c r="A16" s="8">
        <v>1147</v>
      </c>
      <c r="B16" s="8">
        <v>1213</v>
      </c>
      <c r="C16" s="8">
        <v>986</v>
      </c>
      <c r="D16" s="8">
        <v>420</v>
      </c>
      <c r="E16" s="8">
        <v>146</v>
      </c>
      <c r="F16" s="8">
        <v>117</v>
      </c>
      <c r="G16" s="8">
        <v>47</v>
      </c>
      <c r="H16" s="8">
        <v>20</v>
      </c>
      <c r="I16" s="8">
        <v>0</v>
      </c>
      <c r="J16" s="10">
        <f t="shared" si="2"/>
        <v>259081</v>
      </c>
      <c r="K16" s="10">
        <f t="shared" si="3"/>
        <v>9801</v>
      </c>
      <c r="L16" s="10">
        <f t="shared" si="4"/>
        <v>121104</v>
      </c>
      <c r="M16" s="8">
        <f t="shared" si="5"/>
        <v>29241</v>
      </c>
      <c r="N16" s="10">
        <f t="shared" si="6"/>
        <v>1225</v>
      </c>
      <c r="O16" s="10">
        <f t="shared" si="7"/>
        <v>1764</v>
      </c>
      <c r="P16" s="10">
        <f t="shared" si="8"/>
        <v>4</v>
      </c>
      <c r="Q16" s="10">
        <f t="shared" si="9"/>
        <v>100</v>
      </c>
      <c r="R16" s="10">
        <f t="shared" si="10"/>
        <v>422320</v>
      </c>
      <c r="S16" s="10">
        <f t="shared" si="1"/>
        <v>649.86152371101332</v>
      </c>
      <c r="T16" s="8">
        <v>35</v>
      </c>
      <c r="U16" s="8" t="s">
        <v>59</v>
      </c>
      <c r="V16" s="8">
        <v>19</v>
      </c>
      <c r="W16" s="8">
        <v>16</v>
      </c>
      <c r="X16" s="8">
        <v>35</v>
      </c>
    </row>
    <row r="17" spans="1:24" x14ac:dyDescent="0.25">
      <c r="A17" s="8">
        <v>1677</v>
      </c>
      <c r="B17" s="8">
        <v>1488</v>
      </c>
      <c r="C17" s="8">
        <v>584</v>
      </c>
      <c r="D17" s="8">
        <v>147</v>
      </c>
      <c r="E17" s="8">
        <v>80</v>
      </c>
      <c r="F17" s="8">
        <v>40</v>
      </c>
      <c r="G17" s="8">
        <v>43</v>
      </c>
      <c r="H17" s="8">
        <v>37</v>
      </c>
      <c r="I17" s="8">
        <v>0</v>
      </c>
      <c r="J17" s="10">
        <f t="shared" si="2"/>
        <v>441</v>
      </c>
      <c r="K17" s="10">
        <f t="shared" si="3"/>
        <v>30976</v>
      </c>
      <c r="L17" s="10">
        <f t="shared" si="4"/>
        <v>2916</v>
      </c>
      <c r="M17" s="8">
        <f t="shared" si="5"/>
        <v>10404</v>
      </c>
      <c r="N17" s="10">
        <f t="shared" si="6"/>
        <v>961</v>
      </c>
      <c r="O17" s="10">
        <f t="shared" si="7"/>
        <v>1225</v>
      </c>
      <c r="P17" s="10">
        <f t="shared" si="8"/>
        <v>4</v>
      </c>
      <c r="Q17" s="10">
        <f t="shared" si="9"/>
        <v>729</v>
      </c>
      <c r="R17" s="10">
        <f t="shared" si="10"/>
        <v>47656</v>
      </c>
      <c r="S17" s="10">
        <f t="shared" si="1"/>
        <v>218.30254235807701</v>
      </c>
      <c r="T17" s="8">
        <v>8</v>
      </c>
      <c r="U17" s="8" t="s">
        <v>59</v>
      </c>
      <c r="V17" s="8">
        <v>19</v>
      </c>
      <c r="W17" s="8">
        <v>16</v>
      </c>
      <c r="X17" s="8">
        <v>35</v>
      </c>
    </row>
    <row r="18" spans="1:24" x14ac:dyDescent="0.25">
      <c r="A18" s="8">
        <v>1450</v>
      </c>
      <c r="B18" s="8">
        <v>1162</v>
      </c>
      <c r="C18" s="8">
        <v>927</v>
      </c>
      <c r="D18" s="8">
        <v>317</v>
      </c>
      <c r="E18" s="8">
        <v>121</v>
      </c>
      <c r="F18" s="8">
        <v>81</v>
      </c>
      <c r="G18" s="8">
        <v>23</v>
      </c>
      <c r="H18" s="8">
        <v>15</v>
      </c>
      <c r="I18" s="8">
        <v>0</v>
      </c>
      <c r="J18" s="10">
        <f t="shared" si="2"/>
        <v>42436</v>
      </c>
      <c r="K18" s="10">
        <f t="shared" si="3"/>
        <v>22500</v>
      </c>
      <c r="L18" s="10">
        <f t="shared" si="4"/>
        <v>83521</v>
      </c>
      <c r="M18" s="8">
        <f t="shared" si="5"/>
        <v>4624</v>
      </c>
      <c r="N18" s="10">
        <f t="shared" si="6"/>
        <v>100</v>
      </c>
      <c r="O18" s="10">
        <f t="shared" si="7"/>
        <v>36</v>
      </c>
      <c r="P18" s="10">
        <f t="shared" si="8"/>
        <v>484</v>
      </c>
      <c r="Q18" s="10">
        <f t="shared" si="9"/>
        <v>25</v>
      </c>
      <c r="R18" s="10">
        <f t="shared" si="10"/>
        <v>153726</v>
      </c>
      <c r="S18" s="10">
        <f t="shared" si="1"/>
        <v>392.07907365734275</v>
      </c>
      <c r="T18" s="8">
        <v>25</v>
      </c>
      <c r="U18" s="8" t="s">
        <v>59</v>
      </c>
      <c r="V18" s="8">
        <v>19</v>
      </c>
      <c r="W18" s="8">
        <v>16</v>
      </c>
      <c r="X18" s="8">
        <v>35</v>
      </c>
    </row>
    <row r="19" spans="1:24" x14ac:dyDescent="0.25">
      <c r="A19" s="8">
        <v>1329</v>
      </c>
      <c r="B19" s="8">
        <v>1178</v>
      </c>
      <c r="C19" s="8">
        <v>836</v>
      </c>
      <c r="D19" s="8">
        <v>494</v>
      </c>
      <c r="E19" s="8">
        <v>161</v>
      </c>
      <c r="F19" s="8">
        <v>62</v>
      </c>
      <c r="G19" s="8">
        <v>21</v>
      </c>
      <c r="H19" s="8">
        <v>15</v>
      </c>
      <c r="I19" s="8">
        <v>0</v>
      </c>
      <c r="J19" s="10">
        <f t="shared" si="2"/>
        <v>106929</v>
      </c>
      <c r="K19" s="10">
        <f t="shared" si="3"/>
        <v>17956</v>
      </c>
      <c r="L19" s="10">
        <f t="shared" si="4"/>
        <v>39204</v>
      </c>
      <c r="M19" s="8">
        <f t="shared" si="5"/>
        <v>60025</v>
      </c>
      <c r="N19" s="10">
        <f t="shared" si="6"/>
        <v>2500</v>
      </c>
      <c r="O19" s="10">
        <f t="shared" si="7"/>
        <v>169</v>
      </c>
      <c r="P19" s="10">
        <f t="shared" si="8"/>
        <v>576</v>
      </c>
      <c r="Q19" s="10">
        <f t="shared" si="9"/>
        <v>25</v>
      </c>
      <c r="R19" s="10">
        <f t="shared" si="10"/>
        <v>227384</v>
      </c>
      <c r="S19" s="10">
        <f t="shared" si="1"/>
        <v>476.8479841626679</v>
      </c>
      <c r="T19" s="8">
        <v>28</v>
      </c>
      <c r="U19" s="8" t="s">
        <v>59</v>
      </c>
      <c r="V19" s="8">
        <v>19</v>
      </c>
      <c r="W19" s="8">
        <v>16</v>
      </c>
      <c r="X19" s="8">
        <v>35</v>
      </c>
    </row>
    <row r="20" spans="1:24" x14ac:dyDescent="0.25">
      <c r="A20" s="8">
        <v>1529</v>
      </c>
      <c r="B20" s="8">
        <v>1213</v>
      </c>
      <c r="C20" s="8">
        <v>707</v>
      </c>
      <c r="D20" s="8">
        <v>373</v>
      </c>
      <c r="E20" s="8">
        <v>182</v>
      </c>
      <c r="F20" s="8">
        <v>65</v>
      </c>
      <c r="G20" s="8">
        <v>12</v>
      </c>
      <c r="H20" s="8">
        <v>15</v>
      </c>
      <c r="I20" s="8">
        <v>0</v>
      </c>
      <c r="J20" s="10">
        <f t="shared" si="2"/>
        <v>16129</v>
      </c>
      <c r="K20" s="10">
        <f t="shared" si="3"/>
        <v>9801</v>
      </c>
      <c r="L20" s="10">
        <f t="shared" si="4"/>
        <v>4761</v>
      </c>
      <c r="M20" s="8">
        <f t="shared" si="5"/>
        <v>15376</v>
      </c>
      <c r="N20" s="10">
        <f t="shared" si="6"/>
        <v>5041</v>
      </c>
      <c r="O20" s="10">
        <f t="shared" si="7"/>
        <v>100</v>
      </c>
      <c r="P20" s="10">
        <f t="shared" si="8"/>
        <v>1089</v>
      </c>
      <c r="Q20" s="10">
        <f t="shared" si="9"/>
        <v>25</v>
      </c>
      <c r="R20" s="10">
        <f t="shared" si="10"/>
        <v>52322</v>
      </c>
      <c r="S20" s="10">
        <f t="shared" si="1"/>
        <v>228.74002710500844</v>
      </c>
      <c r="T20" s="8">
        <v>10</v>
      </c>
      <c r="U20" s="8" t="s">
        <v>59</v>
      </c>
      <c r="V20" s="8">
        <v>19</v>
      </c>
      <c r="W20" s="8">
        <v>16</v>
      </c>
      <c r="X20" s="8">
        <v>35</v>
      </c>
    </row>
    <row r="21" spans="1:24" x14ac:dyDescent="0.25">
      <c r="A21" s="8">
        <v>1823</v>
      </c>
      <c r="B21" s="8">
        <v>1222</v>
      </c>
      <c r="C21" s="8">
        <v>583</v>
      </c>
      <c r="D21" s="8">
        <v>218</v>
      </c>
      <c r="E21" s="8">
        <v>88</v>
      </c>
      <c r="F21" s="8">
        <v>89</v>
      </c>
      <c r="G21" s="8">
        <v>62</v>
      </c>
      <c r="H21" s="8">
        <v>11</v>
      </c>
      <c r="I21" s="8">
        <v>0</v>
      </c>
      <c r="J21" s="10">
        <f t="shared" si="2"/>
        <v>27889</v>
      </c>
      <c r="K21" s="10">
        <f t="shared" si="3"/>
        <v>8100</v>
      </c>
      <c r="L21" s="10">
        <f t="shared" si="4"/>
        <v>3025</v>
      </c>
      <c r="M21" s="8">
        <f t="shared" si="5"/>
        <v>961</v>
      </c>
      <c r="N21" s="10">
        <f t="shared" si="6"/>
        <v>529</v>
      </c>
      <c r="O21" s="10">
        <f t="shared" si="7"/>
        <v>196</v>
      </c>
      <c r="P21" s="10">
        <f t="shared" si="8"/>
        <v>289</v>
      </c>
      <c r="Q21" s="10">
        <f t="shared" si="9"/>
        <v>1</v>
      </c>
      <c r="R21" s="10">
        <f t="shared" si="10"/>
        <v>40990</v>
      </c>
      <c r="S21" s="10">
        <f t="shared" si="1"/>
        <v>202.45987256738061</v>
      </c>
      <c r="T21" s="8">
        <v>6</v>
      </c>
      <c r="U21" s="8" t="s">
        <v>59</v>
      </c>
      <c r="V21" s="8">
        <v>19</v>
      </c>
      <c r="W21" s="8">
        <v>16</v>
      </c>
      <c r="X21" s="8">
        <v>35</v>
      </c>
    </row>
    <row r="22" spans="1:24" x14ac:dyDescent="0.25">
      <c r="A22" s="8">
        <v>1750</v>
      </c>
      <c r="B22" s="8">
        <v>1334</v>
      </c>
      <c r="C22" s="8">
        <v>682</v>
      </c>
      <c r="D22" s="8">
        <v>222</v>
      </c>
      <c r="E22" s="8">
        <v>47</v>
      </c>
      <c r="F22" s="8">
        <v>34</v>
      </c>
      <c r="G22" s="8">
        <v>15</v>
      </c>
      <c r="H22" s="8">
        <v>12</v>
      </c>
      <c r="I22" s="8">
        <v>0</v>
      </c>
      <c r="J22" s="10">
        <f t="shared" si="2"/>
        <v>8836</v>
      </c>
      <c r="K22" s="10">
        <f t="shared" si="3"/>
        <v>484</v>
      </c>
      <c r="L22" s="10">
        <f t="shared" si="4"/>
        <v>1936</v>
      </c>
      <c r="M22" s="8">
        <f t="shared" si="5"/>
        <v>729</v>
      </c>
      <c r="N22" s="10">
        <f t="shared" si="6"/>
        <v>4096</v>
      </c>
      <c r="O22" s="10">
        <f t="shared" si="7"/>
        <v>1681</v>
      </c>
      <c r="P22" s="10">
        <f t="shared" si="8"/>
        <v>900</v>
      </c>
      <c r="Q22" s="10">
        <f t="shared" si="9"/>
        <v>4</v>
      </c>
      <c r="R22" s="10">
        <f t="shared" si="10"/>
        <v>18666</v>
      </c>
      <c r="S22" s="10">
        <f t="shared" si="1"/>
        <v>136.62357044082839</v>
      </c>
      <c r="T22" s="8">
        <v>2</v>
      </c>
      <c r="U22" s="8" t="s">
        <v>59</v>
      </c>
      <c r="V22" s="8">
        <v>19</v>
      </c>
      <c r="W22" s="8">
        <v>16</v>
      </c>
      <c r="X22" s="8">
        <v>35</v>
      </c>
    </row>
    <row r="23" spans="1:24" x14ac:dyDescent="0.25">
      <c r="A23" s="9">
        <v>1342</v>
      </c>
      <c r="B23" s="9">
        <v>1338</v>
      </c>
      <c r="C23" s="9">
        <v>782</v>
      </c>
      <c r="D23" s="9">
        <v>372</v>
      </c>
      <c r="E23" s="9">
        <v>169</v>
      </c>
      <c r="F23" s="9">
        <v>60</v>
      </c>
      <c r="G23" s="9">
        <v>23</v>
      </c>
      <c r="H23" s="9">
        <v>10</v>
      </c>
      <c r="I23" s="9">
        <v>1</v>
      </c>
      <c r="J23" s="11">
        <f t="shared" si="2"/>
        <v>98596</v>
      </c>
      <c r="K23" s="11">
        <f t="shared" si="3"/>
        <v>676</v>
      </c>
      <c r="L23" s="11">
        <f t="shared" si="4"/>
        <v>20736</v>
      </c>
      <c r="M23" s="9">
        <f t="shared" si="5"/>
        <v>15129</v>
      </c>
      <c r="N23" s="11">
        <f t="shared" si="6"/>
        <v>3364</v>
      </c>
      <c r="O23" s="11">
        <f t="shared" si="7"/>
        <v>225</v>
      </c>
      <c r="P23" s="11">
        <f t="shared" si="8"/>
        <v>484</v>
      </c>
      <c r="Q23" s="11">
        <f t="shared" si="9"/>
        <v>0</v>
      </c>
      <c r="R23" s="11">
        <f t="shared" si="10"/>
        <v>139210</v>
      </c>
      <c r="S23" s="11">
        <f t="shared" si="1"/>
        <v>373.10856328956055</v>
      </c>
      <c r="T23" s="9">
        <v>22</v>
      </c>
      <c r="U23" s="9" t="s">
        <v>59</v>
      </c>
      <c r="V23" s="9">
        <v>19</v>
      </c>
      <c r="W23" s="9">
        <v>16</v>
      </c>
      <c r="X23" s="9">
        <v>35</v>
      </c>
    </row>
    <row r="24" spans="1:24" x14ac:dyDescent="0.25">
      <c r="A24" s="2">
        <v>1125</v>
      </c>
      <c r="B24" s="2">
        <v>1090</v>
      </c>
      <c r="C24" s="2">
        <v>898</v>
      </c>
      <c r="D24" s="2">
        <v>470</v>
      </c>
      <c r="E24" s="2">
        <v>245</v>
      </c>
      <c r="F24" s="2">
        <v>149</v>
      </c>
      <c r="G24" s="2">
        <v>85</v>
      </c>
      <c r="H24" s="2">
        <v>34</v>
      </c>
      <c r="I24" s="2">
        <v>1</v>
      </c>
      <c r="J24" s="7">
        <f t="shared" si="2"/>
        <v>281961</v>
      </c>
      <c r="K24" s="7">
        <f t="shared" si="3"/>
        <v>49284</v>
      </c>
      <c r="L24" s="7">
        <f t="shared" si="4"/>
        <v>67600</v>
      </c>
      <c r="M24" s="2">
        <f t="shared" si="5"/>
        <v>48841</v>
      </c>
      <c r="N24" s="7">
        <f t="shared" si="6"/>
        <v>17956</v>
      </c>
      <c r="O24" s="7">
        <f t="shared" si="7"/>
        <v>5476</v>
      </c>
      <c r="P24" s="7">
        <f t="shared" si="8"/>
        <v>1600</v>
      </c>
      <c r="Q24" s="7">
        <f t="shared" si="9"/>
        <v>576</v>
      </c>
      <c r="R24" s="7">
        <f t="shared" si="10"/>
        <v>473294</v>
      </c>
      <c r="S24" s="7">
        <f t="shared" si="1"/>
        <v>687.9636618310592</v>
      </c>
      <c r="T24" s="2">
        <v>37</v>
      </c>
      <c r="U24" s="2" t="s">
        <v>60</v>
      </c>
      <c r="V24" s="2">
        <v>19</v>
      </c>
      <c r="W24" s="2">
        <v>16</v>
      </c>
      <c r="X24" s="2">
        <v>35</v>
      </c>
    </row>
    <row r="25" spans="1:24" x14ac:dyDescent="0.25">
      <c r="A25" s="2">
        <v>2264</v>
      </c>
      <c r="B25" s="2">
        <v>1085</v>
      </c>
      <c r="C25" s="2">
        <v>453</v>
      </c>
      <c r="D25" s="2">
        <v>163</v>
      </c>
      <c r="E25" s="2">
        <v>69</v>
      </c>
      <c r="F25" s="2">
        <v>51</v>
      </c>
      <c r="G25" s="2">
        <v>8</v>
      </c>
      <c r="H25" s="2">
        <v>3</v>
      </c>
      <c r="I25" s="2">
        <v>1</v>
      </c>
      <c r="J25" s="7">
        <f t="shared" si="2"/>
        <v>369664</v>
      </c>
      <c r="K25" s="7">
        <f t="shared" si="3"/>
        <v>51529</v>
      </c>
      <c r="L25" s="7">
        <f t="shared" si="4"/>
        <v>34225</v>
      </c>
      <c r="M25" s="2">
        <f t="shared" si="5"/>
        <v>7396</v>
      </c>
      <c r="N25" s="7">
        <f t="shared" si="6"/>
        <v>1764</v>
      </c>
      <c r="O25" s="7">
        <f t="shared" si="7"/>
        <v>576</v>
      </c>
      <c r="P25" s="7">
        <f t="shared" si="8"/>
        <v>1369</v>
      </c>
      <c r="Q25" s="7">
        <f t="shared" si="9"/>
        <v>49</v>
      </c>
      <c r="R25" s="7">
        <f t="shared" si="10"/>
        <v>466572</v>
      </c>
      <c r="S25" s="7">
        <f t="shared" si="1"/>
        <v>683.06075864450008</v>
      </c>
      <c r="T25" s="2">
        <v>36</v>
      </c>
      <c r="U25" s="2" t="s">
        <v>60</v>
      </c>
      <c r="V25" s="2">
        <v>19</v>
      </c>
      <c r="W25" s="2">
        <v>16</v>
      </c>
      <c r="X25" s="2">
        <v>35</v>
      </c>
    </row>
    <row r="26" spans="1:24" x14ac:dyDescent="0.25">
      <c r="A26" s="9">
        <v>1551</v>
      </c>
      <c r="B26" s="9">
        <v>1214</v>
      </c>
      <c r="C26" s="9">
        <v>707</v>
      </c>
      <c r="D26" s="9">
        <v>397</v>
      </c>
      <c r="E26" s="9">
        <v>151</v>
      </c>
      <c r="F26" s="9">
        <v>59</v>
      </c>
      <c r="G26" s="9">
        <v>13</v>
      </c>
      <c r="H26" s="9">
        <v>4</v>
      </c>
      <c r="I26" s="9">
        <v>1</v>
      </c>
      <c r="J26" s="11">
        <f t="shared" si="2"/>
        <v>11025</v>
      </c>
      <c r="K26" s="11">
        <f t="shared" si="3"/>
        <v>9604</v>
      </c>
      <c r="L26" s="11">
        <f t="shared" si="4"/>
        <v>4761</v>
      </c>
      <c r="M26" s="9">
        <f t="shared" si="5"/>
        <v>21904</v>
      </c>
      <c r="N26" s="11">
        <f t="shared" si="6"/>
        <v>1600</v>
      </c>
      <c r="O26" s="11">
        <f t="shared" si="7"/>
        <v>256</v>
      </c>
      <c r="P26" s="11">
        <f t="shared" si="8"/>
        <v>1024</v>
      </c>
      <c r="Q26" s="11">
        <f t="shared" si="9"/>
        <v>36</v>
      </c>
      <c r="R26" s="11">
        <f t="shared" si="10"/>
        <v>50210</v>
      </c>
      <c r="S26" s="11">
        <f t="shared" si="1"/>
        <v>224.07588000496617</v>
      </c>
      <c r="T26" s="9">
        <v>9</v>
      </c>
      <c r="U26" s="9" t="s">
        <v>59</v>
      </c>
      <c r="V26" s="9">
        <v>19</v>
      </c>
      <c r="W26" s="9">
        <v>16</v>
      </c>
      <c r="X26" s="9">
        <v>35</v>
      </c>
    </row>
    <row r="27" spans="1:24" x14ac:dyDescent="0.25">
      <c r="A27" s="9">
        <v>1491</v>
      </c>
      <c r="B27" s="9">
        <v>1182</v>
      </c>
      <c r="C27" s="9">
        <v>670</v>
      </c>
      <c r="D27" s="9">
        <v>378</v>
      </c>
      <c r="E27" s="9">
        <v>155</v>
      </c>
      <c r="F27" s="9">
        <v>126</v>
      </c>
      <c r="G27" s="9">
        <v>67</v>
      </c>
      <c r="H27" s="9">
        <v>27</v>
      </c>
      <c r="I27" s="9">
        <v>1</v>
      </c>
      <c r="J27" s="11">
        <f t="shared" si="2"/>
        <v>27225</v>
      </c>
      <c r="K27" s="11">
        <f t="shared" si="3"/>
        <v>16900</v>
      </c>
      <c r="L27" s="11">
        <f t="shared" si="4"/>
        <v>1024</v>
      </c>
      <c r="M27" s="9">
        <f t="shared" si="5"/>
        <v>16641</v>
      </c>
      <c r="N27" s="11">
        <f t="shared" si="6"/>
        <v>1936</v>
      </c>
      <c r="O27" s="11">
        <f t="shared" si="7"/>
        <v>2601</v>
      </c>
      <c r="P27" s="11">
        <f t="shared" si="8"/>
        <v>484</v>
      </c>
      <c r="Q27" s="11">
        <f t="shared" si="9"/>
        <v>289</v>
      </c>
      <c r="R27" s="11">
        <f t="shared" si="10"/>
        <v>67100</v>
      </c>
      <c r="S27" s="11">
        <f t="shared" si="1"/>
        <v>259.03667693977235</v>
      </c>
      <c r="T27" s="9">
        <v>13</v>
      </c>
      <c r="U27" s="9" t="s">
        <v>59</v>
      </c>
      <c r="V27" s="9">
        <v>19</v>
      </c>
      <c r="W27" s="9">
        <v>16</v>
      </c>
      <c r="X27" s="9">
        <v>35</v>
      </c>
    </row>
    <row r="28" spans="1:24" x14ac:dyDescent="0.25">
      <c r="A28" s="9">
        <v>1397</v>
      </c>
      <c r="B28" s="9">
        <v>1163</v>
      </c>
      <c r="C28" s="9">
        <v>787</v>
      </c>
      <c r="D28" s="9">
        <v>403</v>
      </c>
      <c r="E28" s="9">
        <v>201</v>
      </c>
      <c r="F28" s="9">
        <v>108</v>
      </c>
      <c r="G28" s="9">
        <v>27</v>
      </c>
      <c r="H28" s="9">
        <v>10</v>
      </c>
      <c r="I28" s="9">
        <v>1</v>
      </c>
      <c r="J28" s="11">
        <f t="shared" si="2"/>
        <v>67081</v>
      </c>
      <c r="K28" s="11">
        <f t="shared" si="3"/>
        <v>22201</v>
      </c>
      <c r="L28" s="11">
        <f t="shared" si="4"/>
        <v>22201</v>
      </c>
      <c r="M28" s="9">
        <f t="shared" si="5"/>
        <v>23716</v>
      </c>
      <c r="N28" s="11">
        <f t="shared" si="6"/>
        <v>8100</v>
      </c>
      <c r="O28" s="11">
        <f t="shared" si="7"/>
        <v>1089</v>
      </c>
      <c r="P28" s="11">
        <f t="shared" si="8"/>
        <v>324</v>
      </c>
      <c r="Q28" s="11">
        <f t="shared" si="9"/>
        <v>0</v>
      </c>
      <c r="R28" s="11">
        <f t="shared" si="10"/>
        <v>144712</v>
      </c>
      <c r="S28" s="11">
        <f t="shared" si="1"/>
        <v>380.41030480259076</v>
      </c>
      <c r="T28" s="9">
        <v>23</v>
      </c>
      <c r="U28" s="9" t="s">
        <v>59</v>
      </c>
      <c r="V28" s="9">
        <v>19</v>
      </c>
      <c r="W28" s="9">
        <v>16</v>
      </c>
      <c r="X28" s="9">
        <v>35</v>
      </c>
    </row>
    <row r="29" spans="1:24" x14ac:dyDescent="0.25">
      <c r="A29" s="9">
        <v>1727</v>
      </c>
      <c r="B29" s="9">
        <v>1245</v>
      </c>
      <c r="C29" s="9">
        <v>560</v>
      </c>
      <c r="D29" s="9">
        <v>293</v>
      </c>
      <c r="E29" s="9">
        <v>154</v>
      </c>
      <c r="F29" s="9">
        <v>66</v>
      </c>
      <c r="G29" s="9">
        <v>33</v>
      </c>
      <c r="H29" s="9">
        <v>18</v>
      </c>
      <c r="I29" s="9">
        <v>1</v>
      </c>
      <c r="J29" s="11">
        <f t="shared" si="2"/>
        <v>5041</v>
      </c>
      <c r="K29" s="11">
        <f t="shared" si="3"/>
        <v>4489</v>
      </c>
      <c r="L29" s="11">
        <f t="shared" si="4"/>
        <v>6084</v>
      </c>
      <c r="M29" s="9">
        <f t="shared" si="5"/>
        <v>1936</v>
      </c>
      <c r="N29" s="11">
        <f t="shared" si="6"/>
        <v>1849</v>
      </c>
      <c r="O29" s="11">
        <f t="shared" si="7"/>
        <v>81</v>
      </c>
      <c r="P29" s="11">
        <f t="shared" si="8"/>
        <v>144</v>
      </c>
      <c r="Q29" s="11">
        <f t="shared" si="9"/>
        <v>64</v>
      </c>
      <c r="R29" s="11">
        <f t="shared" si="10"/>
        <v>19688</v>
      </c>
      <c r="S29" s="11">
        <f t="shared" si="1"/>
        <v>140.31393373432306</v>
      </c>
      <c r="T29" s="9">
        <v>3</v>
      </c>
      <c r="U29" s="9" t="s">
        <v>59</v>
      </c>
      <c r="V29" s="9">
        <v>19</v>
      </c>
      <c r="W29" s="9">
        <v>16</v>
      </c>
      <c r="X29" s="9">
        <v>35</v>
      </c>
    </row>
    <row r="30" spans="1:24" x14ac:dyDescent="0.25">
      <c r="A30" s="9">
        <v>1810</v>
      </c>
      <c r="B30" s="9">
        <v>1102</v>
      </c>
      <c r="C30" s="9">
        <v>616</v>
      </c>
      <c r="D30" s="9">
        <v>302</v>
      </c>
      <c r="E30" s="9">
        <v>160</v>
      </c>
      <c r="F30" s="9">
        <v>62</v>
      </c>
      <c r="G30" s="9">
        <v>31</v>
      </c>
      <c r="H30" s="9">
        <v>13</v>
      </c>
      <c r="I30" s="9">
        <v>1</v>
      </c>
      <c r="J30" s="11">
        <f t="shared" si="2"/>
        <v>23716</v>
      </c>
      <c r="K30" s="11">
        <f t="shared" si="3"/>
        <v>44100</v>
      </c>
      <c r="L30" s="11">
        <f t="shared" si="4"/>
        <v>484</v>
      </c>
      <c r="M30" s="9">
        <f t="shared" si="5"/>
        <v>2809</v>
      </c>
      <c r="N30" s="11">
        <f t="shared" si="6"/>
        <v>2401</v>
      </c>
      <c r="O30" s="11">
        <f t="shared" si="7"/>
        <v>169</v>
      </c>
      <c r="P30" s="11">
        <f t="shared" si="8"/>
        <v>196</v>
      </c>
      <c r="Q30" s="11">
        <f t="shared" si="9"/>
        <v>9</v>
      </c>
      <c r="R30" s="11">
        <f t="shared" si="10"/>
        <v>73884</v>
      </c>
      <c r="S30" s="11">
        <f t="shared" si="1"/>
        <v>271.81611431259921</v>
      </c>
      <c r="T30" s="9">
        <v>15</v>
      </c>
      <c r="U30" s="9" t="s">
        <v>59</v>
      </c>
      <c r="V30" s="9">
        <v>19</v>
      </c>
      <c r="W30" s="9">
        <v>16</v>
      </c>
      <c r="X30" s="9">
        <v>35</v>
      </c>
    </row>
    <row r="31" spans="1:24" x14ac:dyDescent="0.25">
      <c r="A31" s="9">
        <v>1534</v>
      </c>
      <c r="B31" s="9">
        <v>1304</v>
      </c>
      <c r="C31" s="9">
        <v>608</v>
      </c>
      <c r="D31" s="9">
        <v>340</v>
      </c>
      <c r="E31" s="9">
        <v>180</v>
      </c>
      <c r="F31" s="9">
        <v>78</v>
      </c>
      <c r="G31" s="9">
        <v>20</v>
      </c>
      <c r="H31" s="9">
        <v>32</v>
      </c>
      <c r="I31" s="9">
        <v>1</v>
      </c>
      <c r="J31" s="11">
        <f t="shared" si="2"/>
        <v>14884</v>
      </c>
      <c r="K31" s="11">
        <f t="shared" si="3"/>
        <v>64</v>
      </c>
      <c r="L31" s="11">
        <f t="shared" si="4"/>
        <v>900</v>
      </c>
      <c r="M31" s="9">
        <f t="shared" si="5"/>
        <v>8281</v>
      </c>
      <c r="N31" s="11">
        <f t="shared" si="6"/>
        <v>4761</v>
      </c>
      <c r="O31" s="11">
        <f t="shared" si="7"/>
        <v>9</v>
      </c>
      <c r="P31" s="11">
        <f t="shared" si="8"/>
        <v>625</v>
      </c>
      <c r="Q31" s="11">
        <f t="shared" si="9"/>
        <v>484</v>
      </c>
      <c r="R31" s="11">
        <f t="shared" si="10"/>
        <v>30008</v>
      </c>
      <c r="S31" s="11">
        <f t="shared" si="1"/>
        <v>173.22817322825983</v>
      </c>
      <c r="T31" s="9">
        <v>5</v>
      </c>
      <c r="U31" s="9" t="s">
        <v>59</v>
      </c>
      <c r="V31" s="9">
        <v>19</v>
      </c>
      <c r="W31" s="9">
        <v>16</v>
      </c>
      <c r="X31" s="9">
        <v>35</v>
      </c>
    </row>
    <row r="32" spans="1:24" x14ac:dyDescent="0.25">
      <c r="A32" s="9">
        <v>1919</v>
      </c>
      <c r="B32" s="9">
        <v>1135</v>
      </c>
      <c r="C32" s="9">
        <v>508</v>
      </c>
      <c r="D32" s="9">
        <v>245</v>
      </c>
      <c r="E32" s="9">
        <v>130</v>
      </c>
      <c r="F32" s="9">
        <v>95</v>
      </c>
      <c r="G32" s="9">
        <v>59</v>
      </c>
      <c r="H32" s="9">
        <v>5</v>
      </c>
      <c r="I32" s="9">
        <v>1</v>
      </c>
      <c r="J32" s="11">
        <f t="shared" si="2"/>
        <v>69169</v>
      </c>
      <c r="K32" s="11">
        <f t="shared" si="3"/>
        <v>31329</v>
      </c>
      <c r="L32" s="11">
        <f t="shared" si="4"/>
        <v>16900</v>
      </c>
      <c r="M32" s="9">
        <f t="shared" si="5"/>
        <v>16</v>
      </c>
      <c r="N32" s="11">
        <f t="shared" si="6"/>
        <v>361</v>
      </c>
      <c r="O32" s="11">
        <f t="shared" si="7"/>
        <v>400</v>
      </c>
      <c r="P32" s="11">
        <f t="shared" si="8"/>
        <v>196</v>
      </c>
      <c r="Q32" s="11">
        <f t="shared" si="9"/>
        <v>25</v>
      </c>
      <c r="R32" s="11">
        <f t="shared" si="10"/>
        <v>118396</v>
      </c>
      <c r="S32" s="11">
        <f t="shared" si="1"/>
        <v>344.08719825067601</v>
      </c>
      <c r="T32" s="9">
        <v>20</v>
      </c>
      <c r="U32" s="9" t="s">
        <v>59</v>
      </c>
      <c r="V32" s="9">
        <v>19</v>
      </c>
      <c r="W32" s="9">
        <v>16</v>
      </c>
      <c r="X32" s="9">
        <v>35</v>
      </c>
    </row>
    <row r="33" spans="1:24" x14ac:dyDescent="0.25">
      <c r="A33" s="9">
        <v>1493</v>
      </c>
      <c r="B33" s="9">
        <v>1201</v>
      </c>
      <c r="C33" s="9">
        <v>751</v>
      </c>
      <c r="D33" s="9">
        <v>382</v>
      </c>
      <c r="E33" s="9">
        <v>157</v>
      </c>
      <c r="F33" s="9">
        <v>62</v>
      </c>
      <c r="G33" s="9">
        <v>27</v>
      </c>
      <c r="H33" s="9">
        <v>23</v>
      </c>
      <c r="I33" s="9">
        <v>1</v>
      </c>
      <c r="J33" s="11">
        <f t="shared" si="2"/>
        <v>26569</v>
      </c>
      <c r="K33" s="11">
        <f t="shared" si="3"/>
        <v>12321</v>
      </c>
      <c r="L33" s="11">
        <f t="shared" si="4"/>
        <v>12769</v>
      </c>
      <c r="M33" s="9">
        <f t="shared" si="5"/>
        <v>17689</v>
      </c>
      <c r="N33" s="11">
        <f t="shared" si="6"/>
        <v>2116</v>
      </c>
      <c r="O33" s="11">
        <f t="shared" si="7"/>
        <v>169</v>
      </c>
      <c r="P33" s="11">
        <f t="shared" si="8"/>
        <v>324</v>
      </c>
      <c r="Q33" s="11">
        <f t="shared" si="9"/>
        <v>169</v>
      </c>
      <c r="R33" s="11">
        <f t="shared" si="10"/>
        <v>72126</v>
      </c>
      <c r="S33" s="11">
        <f t="shared" si="1"/>
        <v>268.56284180802078</v>
      </c>
      <c r="T33" s="9">
        <v>14</v>
      </c>
      <c r="U33" s="9" t="s">
        <v>59</v>
      </c>
      <c r="V33" s="9">
        <v>19</v>
      </c>
      <c r="W33" s="9">
        <v>16</v>
      </c>
      <c r="X33" s="9">
        <v>35</v>
      </c>
    </row>
    <row r="34" spans="1:24" x14ac:dyDescent="0.25">
      <c r="A34" s="9">
        <v>1797</v>
      </c>
      <c r="B34" s="9">
        <v>1145</v>
      </c>
      <c r="C34" s="9">
        <v>562</v>
      </c>
      <c r="D34" s="9">
        <v>339</v>
      </c>
      <c r="E34" s="9">
        <v>150</v>
      </c>
      <c r="F34" s="9">
        <v>71</v>
      </c>
      <c r="G34" s="9">
        <v>20</v>
      </c>
      <c r="H34" s="9">
        <v>12</v>
      </c>
      <c r="I34" s="9">
        <v>1</v>
      </c>
      <c r="J34" s="11">
        <f t="shared" si="2"/>
        <v>19881</v>
      </c>
      <c r="K34" s="11">
        <f t="shared" si="3"/>
        <v>27889</v>
      </c>
      <c r="L34" s="11">
        <f t="shared" si="4"/>
        <v>5776</v>
      </c>
      <c r="M34" s="9">
        <f t="shared" si="5"/>
        <v>8100</v>
      </c>
      <c r="N34" s="11">
        <f t="shared" si="6"/>
        <v>1521</v>
      </c>
      <c r="O34" s="11">
        <f t="shared" si="7"/>
        <v>16</v>
      </c>
      <c r="P34" s="11">
        <f t="shared" si="8"/>
        <v>625</v>
      </c>
      <c r="Q34" s="11">
        <f t="shared" si="9"/>
        <v>4</v>
      </c>
      <c r="R34" s="11">
        <f t="shared" si="10"/>
        <v>63812</v>
      </c>
      <c r="S34" s="11">
        <f t="shared" si="1"/>
        <v>252.61037191691079</v>
      </c>
      <c r="T34" s="9">
        <v>12</v>
      </c>
      <c r="U34" s="9" t="s">
        <v>59</v>
      </c>
      <c r="V34" s="9">
        <v>19</v>
      </c>
      <c r="W34" s="9">
        <v>16</v>
      </c>
      <c r="X34" s="9">
        <v>35</v>
      </c>
    </row>
    <row r="35" spans="1:24" x14ac:dyDescent="0.25">
      <c r="A35" s="9">
        <v>1427</v>
      </c>
      <c r="B35" s="9">
        <v>1315</v>
      </c>
      <c r="C35" s="9">
        <v>769</v>
      </c>
      <c r="D35" s="9">
        <v>300</v>
      </c>
      <c r="E35" s="9">
        <v>161</v>
      </c>
      <c r="F35" s="9">
        <v>100</v>
      </c>
      <c r="G35" s="9">
        <v>17</v>
      </c>
      <c r="H35" s="9">
        <v>7</v>
      </c>
      <c r="I35" s="9">
        <v>1</v>
      </c>
      <c r="J35" s="11">
        <f t="shared" si="2"/>
        <v>52441</v>
      </c>
      <c r="K35" s="11">
        <f t="shared" si="3"/>
        <v>9</v>
      </c>
      <c r="L35" s="11">
        <f t="shared" si="4"/>
        <v>17161</v>
      </c>
      <c r="M35" s="9">
        <f t="shared" si="5"/>
        <v>2601</v>
      </c>
      <c r="N35" s="11">
        <f t="shared" si="6"/>
        <v>2500</v>
      </c>
      <c r="O35" s="11">
        <f t="shared" si="7"/>
        <v>625</v>
      </c>
      <c r="P35" s="11">
        <f t="shared" si="8"/>
        <v>784</v>
      </c>
      <c r="Q35" s="11">
        <f t="shared" si="9"/>
        <v>9</v>
      </c>
      <c r="R35" s="11">
        <f t="shared" si="10"/>
        <v>76130</v>
      </c>
      <c r="S35" s="11">
        <f t="shared" si="1"/>
        <v>275.91665408235144</v>
      </c>
      <c r="T35" s="9">
        <v>16</v>
      </c>
      <c r="U35" s="9" t="s">
        <v>59</v>
      </c>
      <c r="V35" s="9">
        <v>19</v>
      </c>
      <c r="W35" s="9">
        <v>16</v>
      </c>
      <c r="X35" s="9">
        <v>35</v>
      </c>
    </row>
    <row r="36" spans="1:24" x14ac:dyDescent="0.25">
      <c r="A36" s="9">
        <v>2138</v>
      </c>
      <c r="B36" s="9">
        <v>1065</v>
      </c>
      <c r="C36" s="9">
        <v>391</v>
      </c>
      <c r="D36" s="9">
        <v>242</v>
      </c>
      <c r="E36" s="9">
        <v>130</v>
      </c>
      <c r="F36" s="9">
        <v>90</v>
      </c>
      <c r="G36" s="9">
        <v>22</v>
      </c>
      <c r="H36" s="9">
        <v>18</v>
      </c>
      <c r="I36" s="9">
        <v>1</v>
      </c>
      <c r="J36" s="11">
        <f t="shared" si="2"/>
        <v>232324</v>
      </c>
      <c r="K36" s="11">
        <f t="shared" si="3"/>
        <v>61009</v>
      </c>
      <c r="L36" s="11">
        <f t="shared" si="4"/>
        <v>61009</v>
      </c>
      <c r="M36" s="9">
        <f t="shared" si="5"/>
        <v>49</v>
      </c>
      <c r="N36" s="11">
        <f t="shared" si="6"/>
        <v>361</v>
      </c>
      <c r="O36" s="11">
        <f t="shared" si="7"/>
        <v>225</v>
      </c>
      <c r="P36" s="11">
        <f t="shared" si="8"/>
        <v>529</v>
      </c>
      <c r="Q36" s="11">
        <f t="shared" si="9"/>
        <v>64</v>
      </c>
      <c r="R36" s="11">
        <f t="shared" si="10"/>
        <v>355570</v>
      </c>
      <c r="S36" s="11">
        <f t="shared" si="1"/>
        <v>596.29690591181168</v>
      </c>
      <c r="T36" s="9">
        <v>34</v>
      </c>
      <c r="U36" s="9" t="s">
        <v>59</v>
      </c>
      <c r="V36" s="9">
        <v>19</v>
      </c>
      <c r="W36" s="9">
        <v>16</v>
      </c>
      <c r="X36" s="9">
        <v>35</v>
      </c>
    </row>
    <row r="37" spans="1:24" x14ac:dyDescent="0.25">
      <c r="A37" s="2">
        <v>1069</v>
      </c>
      <c r="B37" s="2">
        <v>1616</v>
      </c>
      <c r="C37" s="2">
        <v>847</v>
      </c>
      <c r="D37" s="2">
        <v>338</v>
      </c>
      <c r="E37" s="2">
        <v>98</v>
      </c>
      <c r="F37" s="2">
        <v>80</v>
      </c>
      <c r="G37" s="2">
        <v>33</v>
      </c>
      <c r="H37" s="2">
        <v>15</v>
      </c>
      <c r="I37" s="2">
        <v>1</v>
      </c>
      <c r="J37" s="7">
        <f t="shared" si="2"/>
        <v>344569</v>
      </c>
      <c r="K37" s="7">
        <f t="shared" si="3"/>
        <v>92416</v>
      </c>
      <c r="L37" s="7">
        <f t="shared" si="4"/>
        <v>43681</v>
      </c>
      <c r="M37" s="2">
        <f t="shared" si="5"/>
        <v>7921</v>
      </c>
      <c r="N37" s="7">
        <f t="shared" si="6"/>
        <v>169</v>
      </c>
      <c r="O37" s="7">
        <f t="shared" si="7"/>
        <v>25</v>
      </c>
      <c r="P37" s="7">
        <f t="shared" si="8"/>
        <v>144</v>
      </c>
      <c r="Q37" s="7">
        <f t="shared" si="9"/>
        <v>25</v>
      </c>
      <c r="R37" s="7">
        <f t="shared" si="10"/>
        <v>488950</v>
      </c>
      <c r="S37" s="7">
        <f t="shared" si="1"/>
        <v>699.24959778322363</v>
      </c>
      <c r="T37" s="2">
        <v>38</v>
      </c>
      <c r="U37" s="2" t="s">
        <v>60</v>
      </c>
      <c r="V37" s="2">
        <v>19</v>
      </c>
      <c r="W37" s="2">
        <v>16</v>
      </c>
      <c r="X37" s="2">
        <v>35</v>
      </c>
    </row>
    <row r="38" spans="1:24" x14ac:dyDescent="0.25">
      <c r="A38" s="9">
        <v>1403</v>
      </c>
      <c r="B38" s="9">
        <v>1133</v>
      </c>
      <c r="C38" s="9">
        <v>675</v>
      </c>
      <c r="D38" s="9">
        <v>454</v>
      </c>
      <c r="E38" s="9">
        <v>214</v>
      </c>
      <c r="F38" s="9">
        <v>124</v>
      </c>
      <c r="G38" s="9">
        <v>62</v>
      </c>
      <c r="H38" s="9">
        <v>31</v>
      </c>
      <c r="I38" s="9">
        <v>1</v>
      </c>
      <c r="J38" s="11">
        <f t="shared" si="2"/>
        <v>64009</v>
      </c>
      <c r="K38" s="11">
        <f t="shared" si="3"/>
        <v>32041</v>
      </c>
      <c r="L38" s="11">
        <f t="shared" si="4"/>
        <v>1369</v>
      </c>
      <c r="M38" s="9">
        <f t="shared" si="5"/>
        <v>42025</v>
      </c>
      <c r="N38" s="11">
        <f t="shared" si="6"/>
        <v>10609</v>
      </c>
      <c r="O38" s="11">
        <f t="shared" si="7"/>
        <v>2401</v>
      </c>
      <c r="P38" s="11">
        <f t="shared" si="8"/>
        <v>289</v>
      </c>
      <c r="Q38" s="11">
        <f t="shared" si="9"/>
        <v>441</v>
      </c>
      <c r="R38" s="11">
        <f t="shared" si="10"/>
        <v>153184</v>
      </c>
      <c r="S38" s="11">
        <f t="shared" si="1"/>
        <v>391.38727623672185</v>
      </c>
      <c r="T38" s="9">
        <v>24</v>
      </c>
      <c r="U38" s="9" t="s">
        <v>59</v>
      </c>
      <c r="V38" s="9">
        <v>19</v>
      </c>
      <c r="W38" s="9">
        <v>16</v>
      </c>
      <c r="X38" s="9">
        <v>35</v>
      </c>
    </row>
    <row r="39" spans="1:24" x14ac:dyDescent="0.25">
      <c r="A39" s="2">
        <v>2306</v>
      </c>
      <c r="B39" s="2">
        <v>968</v>
      </c>
      <c r="C39" s="2">
        <v>408</v>
      </c>
      <c r="D39" s="2">
        <v>224</v>
      </c>
      <c r="E39" s="2">
        <v>122</v>
      </c>
      <c r="F39" s="2">
        <v>25</v>
      </c>
      <c r="G39" s="2">
        <v>32</v>
      </c>
      <c r="H39" s="2">
        <v>11</v>
      </c>
      <c r="I39" s="2">
        <v>1</v>
      </c>
      <c r="J39" s="7">
        <f t="shared" si="2"/>
        <v>422500</v>
      </c>
      <c r="K39" s="7">
        <f t="shared" si="3"/>
        <v>118336</v>
      </c>
      <c r="L39" s="7">
        <f t="shared" si="4"/>
        <v>52900</v>
      </c>
      <c r="M39" s="2">
        <f t="shared" si="5"/>
        <v>625</v>
      </c>
      <c r="N39" s="7">
        <f t="shared" si="6"/>
        <v>121</v>
      </c>
      <c r="O39" s="7">
        <f t="shared" si="7"/>
        <v>2500</v>
      </c>
      <c r="P39" s="7">
        <f t="shared" si="8"/>
        <v>169</v>
      </c>
      <c r="Q39" s="7">
        <f t="shared" si="9"/>
        <v>1</v>
      </c>
      <c r="R39" s="7">
        <f t="shared" si="10"/>
        <v>597152</v>
      </c>
      <c r="S39" s="7">
        <f t="shared" si="1"/>
        <v>772.75610641391893</v>
      </c>
      <c r="T39" s="2">
        <v>39</v>
      </c>
      <c r="U39" s="2" t="s">
        <v>60</v>
      </c>
      <c r="V39" s="2">
        <v>19</v>
      </c>
      <c r="W39" s="2">
        <v>16</v>
      </c>
      <c r="X39" s="2">
        <v>35</v>
      </c>
    </row>
    <row r="40" spans="1:24" x14ac:dyDescent="0.25">
      <c r="A40" s="9">
        <v>2101</v>
      </c>
      <c r="B40" s="9">
        <v>1021</v>
      </c>
      <c r="C40" s="9">
        <v>512</v>
      </c>
      <c r="D40" s="9">
        <v>260</v>
      </c>
      <c r="E40" s="9">
        <v>104</v>
      </c>
      <c r="F40" s="9">
        <v>46</v>
      </c>
      <c r="G40" s="9">
        <v>34</v>
      </c>
      <c r="H40" s="9">
        <v>18</v>
      </c>
      <c r="I40" s="9">
        <v>1</v>
      </c>
      <c r="J40" s="11">
        <f t="shared" si="2"/>
        <v>198025</v>
      </c>
      <c r="K40" s="11">
        <f t="shared" si="3"/>
        <v>84681</v>
      </c>
      <c r="L40" s="11">
        <f t="shared" si="4"/>
        <v>15876</v>
      </c>
      <c r="M40" s="9">
        <f t="shared" si="5"/>
        <v>121</v>
      </c>
      <c r="N40" s="11">
        <f t="shared" si="6"/>
        <v>49</v>
      </c>
      <c r="O40" s="11">
        <f t="shared" si="7"/>
        <v>841</v>
      </c>
      <c r="P40" s="11">
        <f t="shared" si="8"/>
        <v>121</v>
      </c>
      <c r="Q40" s="11">
        <f t="shared" si="9"/>
        <v>64</v>
      </c>
      <c r="R40" s="11">
        <f t="shared" si="10"/>
        <v>299778</v>
      </c>
      <c r="S40" s="11">
        <f t="shared" si="1"/>
        <v>547.51986265340179</v>
      </c>
      <c r="T40" s="9">
        <v>33</v>
      </c>
      <c r="U40" s="9" t="s">
        <v>59</v>
      </c>
      <c r="V40" s="9">
        <v>19</v>
      </c>
      <c r="W40" s="9">
        <v>16</v>
      </c>
      <c r="X40" s="9">
        <v>35</v>
      </c>
    </row>
    <row r="41" spans="1:24" x14ac:dyDescent="0.25">
      <c r="A41" s="9">
        <v>2020</v>
      </c>
      <c r="B41" s="9">
        <v>1083</v>
      </c>
      <c r="C41" s="9">
        <v>584</v>
      </c>
      <c r="D41" s="9">
        <v>252</v>
      </c>
      <c r="E41" s="9">
        <v>100</v>
      </c>
      <c r="F41" s="9">
        <v>28</v>
      </c>
      <c r="G41" s="9">
        <v>25</v>
      </c>
      <c r="H41" s="9">
        <v>4</v>
      </c>
      <c r="I41" s="9">
        <v>1</v>
      </c>
      <c r="J41" s="11">
        <f t="shared" si="2"/>
        <v>132496</v>
      </c>
      <c r="K41" s="11">
        <f t="shared" si="3"/>
        <v>52441</v>
      </c>
      <c r="L41" s="11">
        <f t="shared" si="4"/>
        <v>2916</v>
      </c>
      <c r="M41" s="9">
        <f t="shared" si="5"/>
        <v>9</v>
      </c>
      <c r="N41" s="11">
        <f t="shared" si="6"/>
        <v>121</v>
      </c>
      <c r="O41" s="11">
        <f t="shared" si="7"/>
        <v>2209</v>
      </c>
      <c r="P41" s="11">
        <f t="shared" si="8"/>
        <v>400</v>
      </c>
      <c r="Q41" s="11">
        <f t="shared" si="9"/>
        <v>36</v>
      </c>
      <c r="R41" s="11">
        <f t="shared" si="10"/>
        <v>190628</v>
      </c>
      <c r="S41" s="11">
        <f t="shared" si="1"/>
        <v>436.60966549081343</v>
      </c>
      <c r="T41" s="9">
        <v>27</v>
      </c>
      <c r="U41" s="9" t="s">
        <v>59</v>
      </c>
      <c r="V41" s="9">
        <v>19</v>
      </c>
      <c r="W41" s="9">
        <v>16</v>
      </c>
      <c r="X41" s="9">
        <v>35</v>
      </c>
    </row>
    <row r="42" spans="1:24" x14ac:dyDescent="0.25">
      <c r="A42" s="9">
        <v>1508</v>
      </c>
      <c r="B42" s="9">
        <v>1058</v>
      </c>
      <c r="C42" s="9">
        <v>776</v>
      </c>
      <c r="D42" s="9">
        <v>455</v>
      </c>
      <c r="E42" s="9">
        <v>195</v>
      </c>
      <c r="F42" s="9">
        <v>70</v>
      </c>
      <c r="G42" s="9">
        <v>25</v>
      </c>
      <c r="H42" s="9">
        <v>9</v>
      </c>
      <c r="I42" s="9">
        <v>1</v>
      </c>
      <c r="J42" s="11">
        <f t="shared" si="2"/>
        <v>21904</v>
      </c>
      <c r="K42" s="11">
        <f t="shared" si="3"/>
        <v>64516</v>
      </c>
      <c r="L42" s="11">
        <f t="shared" si="4"/>
        <v>19044</v>
      </c>
      <c r="M42" s="9">
        <f t="shared" si="5"/>
        <v>42436</v>
      </c>
      <c r="N42" s="11">
        <f t="shared" si="6"/>
        <v>7056</v>
      </c>
      <c r="O42" s="11">
        <f t="shared" si="7"/>
        <v>25</v>
      </c>
      <c r="P42" s="11">
        <f t="shared" si="8"/>
        <v>400</v>
      </c>
      <c r="Q42" s="11">
        <f t="shared" si="9"/>
        <v>1</v>
      </c>
      <c r="R42" s="11">
        <f t="shared" si="10"/>
        <v>155382</v>
      </c>
      <c r="S42" s="11">
        <f t="shared" si="1"/>
        <v>394.18523564436049</v>
      </c>
      <c r="T42" s="9">
        <v>26</v>
      </c>
      <c r="U42" s="9" t="s">
        <v>59</v>
      </c>
      <c r="V42" s="9">
        <v>19</v>
      </c>
      <c r="W42" s="9">
        <v>16</v>
      </c>
      <c r="X42" s="9">
        <v>35</v>
      </c>
    </row>
    <row r="43" spans="1:24" x14ac:dyDescent="0.25">
      <c r="A43" t="s">
        <v>24</v>
      </c>
    </row>
    <row r="44" spans="1:24" x14ac:dyDescent="0.25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</row>
    <row r="45" spans="1:24" x14ac:dyDescent="0.25">
      <c r="A45" s="2">
        <v>1656</v>
      </c>
      <c r="B45" s="2">
        <v>1312</v>
      </c>
      <c r="C45" s="2">
        <v>638</v>
      </c>
      <c r="D45" s="2">
        <v>249</v>
      </c>
      <c r="E45" s="2">
        <v>111</v>
      </c>
      <c r="F45" s="2">
        <v>75</v>
      </c>
      <c r="G45" s="2">
        <v>45</v>
      </c>
      <c r="H45" s="2">
        <v>10</v>
      </c>
      <c r="I45" s="3">
        <v>0</v>
      </c>
    </row>
    <row r="46" spans="1:24" x14ac:dyDescent="0.25">
      <c r="A46" s="2">
        <v>1656</v>
      </c>
      <c r="B46" s="2">
        <v>1312</v>
      </c>
      <c r="C46" s="2">
        <v>638</v>
      </c>
      <c r="D46" s="2">
        <v>249</v>
      </c>
      <c r="E46" s="2">
        <v>111</v>
      </c>
      <c r="F46" s="2">
        <v>75</v>
      </c>
      <c r="G46" s="2">
        <v>45</v>
      </c>
      <c r="H46" s="2">
        <v>10</v>
      </c>
      <c r="I46" s="3">
        <v>0</v>
      </c>
    </row>
    <row r="47" spans="1:24" x14ac:dyDescent="0.25">
      <c r="A47" s="2">
        <v>1656</v>
      </c>
      <c r="B47" s="2">
        <v>1312</v>
      </c>
      <c r="C47" s="2">
        <v>638</v>
      </c>
      <c r="D47" s="2">
        <v>249</v>
      </c>
      <c r="E47" s="2">
        <v>111</v>
      </c>
      <c r="F47" s="2">
        <v>75</v>
      </c>
      <c r="G47" s="2">
        <v>45</v>
      </c>
      <c r="H47" s="2">
        <v>10</v>
      </c>
      <c r="I47" s="3">
        <v>0</v>
      </c>
    </row>
    <row r="48" spans="1:24" x14ac:dyDescent="0.25">
      <c r="A48" s="2">
        <v>1656</v>
      </c>
      <c r="B48" s="2">
        <v>1312</v>
      </c>
      <c r="C48" s="2">
        <v>638</v>
      </c>
      <c r="D48" s="2">
        <v>249</v>
      </c>
      <c r="E48" s="2">
        <v>111</v>
      </c>
      <c r="F48" s="2">
        <v>75</v>
      </c>
      <c r="G48" s="2">
        <v>45</v>
      </c>
      <c r="H48" s="2">
        <v>10</v>
      </c>
      <c r="I48" s="3">
        <v>0</v>
      </c>
    </row>
    <row r="49" spans="1:9" x14ac:dyDescent="0.25">
      <c r="A49" s="2">
        <v>1656</v>
      </c>
      <c r="B49" s="2">
        <v>1312</v>
      </c>
      <c r="C49" s="2">
        <v>638</v>
      </c>
      <c r="D49" s="2">
        <v>249</v>
      </c>
      <c r="E49" s="2">
        <v>111</v>
      </c>
      <c r="F49" s="2">
        <v>75</v>
      </c>
      <c r="G49" s="2">
        <v>45</v>
      </c>
      <c r="H49" s="2">
        <v>10</v>
      </c>
      <c r="I49" s="3">
        <v>0</v>
      </c>
    </row>
    <row r="50" spans="1:9" x14ac:dyDescent="0.25">
      <c r="A50" s="2">
        <v>1656</v>
      </c>
      <c r="B50" s="2">
        <v>1312</v>
      </c>
      <c r="C50" s="2">
        <v>638</v>
      </c>
      <c r="D50" s="2">
        <v>249</v>
      </c>
      <c r="E50" s="2">
        <v>111</v>
      </c>
      <c r="F50" s="2">
        <v>75</v>
      </c>
      <c r="G50" s="2">
        <v>45</v>
      </c>
      <c r="H50" s="2">
        <v>10</v>
      </c>
      <c r="I50" s="3">
        <v>0</v>
      </c>
    </row>
    <row r="51" spans="1:9" x14ac:dyDescent="0.25">
      <c r="A51" s="2">
        <v>1656</v>
      </c>
      <c r="B51" s="2">
        <v>1312</v>
      </c>
      <c r="C51" s="2">
        <v>638</v>
      </c>
      <c r="D51" s="2">
        <v>249</v>
      </c>
      <c r="E51" s="2">
        <v>111</v>
      </c>
      <c r="F51" s="2">
        <v>75</v>
      </c>
      <c r="G51" s="2">
        <v>45</v>
      </c>
      <c r="H51" s="2">
        <v>10</v>
      </c>
      <c r="I51" s="3">
        <v>0</v>
      </c>
    </row>
    <row r="52" spans="1:9" x14ac:dyDescent="0.25">
      <c r="A52" s="2">
        <v>1656</v>
      </c>
      <c r="B52" s="2">
        <v>1312</v>
      </c>
      <c r="C52" s="2">
        <v>638</v>
      </c>
      <c r="D52" s="2">
        <v>249</v>
      </c>
      <c r="E52" s="2">
        <v>111</v>
      </c>
      <c r="F52" s="2">
        <v>75</v>
      </c>
      <c r="G52" s="2">
        <v>45</v>
      </c>
      <c r="H52" s="2">
        <v>10</v>
      </c>
      <c r="I52" s="3">
        <v>0</v>
      </c>
    </row>
    <row r="53" spans="1:9" x14ac:dyDescent="0.25">
      <c r="A53" s="2">
        <v>1656</v>
      </c>
      <c r="B53" s="2">
        <v>1312</v>
      </c>
      <c r="C53" s="2">
        <v>638</v>
      </c>
      <c r="D53" s="2">
        <v>249</v>
      </c>
      <c r="E53" s="2">
        <v>111</v>
      </c>
      <c r="F53" s="2">
        <v>75</v>
      </c>
      <c r="G53" s="2">
        <v>45</v>
      </c>
      <c r="H53" s="2">
        <v>10</v>
      </c>
      <c r="I53" s="3">
        <v>0</v>
      </c>
    </row>
    <row r="54" spans="1:9" x14ac:dyDescent="0.25">
      <c r="A54" s="2">
        <v>1656</v>
      </c>
      <c r="B54" s="2">
        <v>1312</v>
      </c>
      <c r="C54" s="2">
        <v>638</v>
      </c>
      <c r="D54" s="2">
        <v>249</v>
      </c>
      <c r="E54" s="2">
        <v>111</v>
      </c>
      <c r="F54" s="2">
        <v>75</v>
      </c>
      <c r="G54" s="2">
        <v>45</v>
      </c>
      <c r="H54" s="2">
        <v>10</v>
      </c>
      <c r="I54" s="3">
        <v>0</v>
      </c>
    </row>
    <row r="55" spans="1:9" x14ac:dyDescent="0.25">
      <c r="A55" s="2">
        <v>1656</v>
      </c>
      <c r="B55" s="2">
        <v>1312</v>
      </c>
      <c r="C55" s="2">
        <v>638</v>
      </c>
      <c r="D55" s="2">
        <v>249</v>
      </c>
      <c r="E55" s="2">
        <v>111</v>
      </c>
      <c r="F55" s="2">
        <v>75</v>
      </c>
      <c r="G55" s="2">
        <v>45</v>
      </c>
      <c r="H55" s="2">
        <v>10</v>
      </c>
      <c r="I55" s="3">
        <v>0</v>
      </c>
    </row>
    <row r="56" spans="1:9" x14ac:dyDescent="0.25">
      <c r="A56" s="2">
        <v>1656</v>
      </c>
      <c r="B56" s="2">
        <v>1312</v>
      </c>
      <c r="C56" s="2">
        <v>638</v>
      </c>
      <c r="D56" s="2">
        <v>249</v>
      </c>
      <c r="E56" s="2">
        <v>111</v>
      </c>
      <c r="F56" s="2">
        <v>75</v>
      </c>
      <c r="G56" s="2">
        <v>45</v>
      </c>
      <c r="H56" s="2">
        <v>10</v>
      </c>
      <c r="I56" s="3">
        <v>0</v>
      </c>
    </row>
    <row r="57" spans="1:9" x14ac:dyDescent="0.25">
      <c r="A57" s="2">
        <v>1656</v>
      </c>
      <c r="B57" s="2">
        <v>1312</v>
      </c>
      <c r="C57" s="2">
        <v>638</v>
      </c>
      <c r="D57" s="2">
        <v>249</v>
      </c>
      <c r="E57" s="2">
        <v>111</v>
      </c>
      <c r="F57" s="2">
        <v>75</v>
      </c>
      <c r="G57" s="2">
        <v>45</v>
      </c>
      <c r="H57" s="2">
        <v>10</v>
      </c>
      <c r="I57" s="3">
        <v>0</v>
      </c>
    </row>
    <row r="58" spans="1:9" x14ac:dyDescent="0.25">
      <c r="A58" s="2">
        <v>1656</v>
      </c>
      <c r="B58" s="2">
        <v>1312</v>
      </c>
      <c r="C58" s="2">
        <v>638</v>
      </c>
      <c r="D58" s="2">
        <v>249</v>
      </c>
      <c r="E58" s="2">
        <v>111</v>
      </c>
      <c r="F58" s="2">
        <v>75</v>
      </c>
      <c r="G58" s="2">
        <v>45</v>
      </c>
      <c r="H58" s="2">
        <v>10</v>
      </c>
      <c r="I58" s="3">
        <v>0</v>
      </c>
    </row>
    <row r="59" spans="1:9" x14ac:dyDescent="0.25">
      <c r="A59" s="2">
        <v>1656</v>
      </c>
      <c r="B59" s="2">
        <v>1312</v>
      </c>
      <c r="C59" s="2">
        <v>638</v>
      </c>
      <c r="D59" s="2">
        <v>249</v>
      </c>
      <c r="E59" s="2">
        <v>111</v>
      </c>
      <c r="F59" s="2">
        <v>75</v>
      </c>
      <c r="G59" s="2">
        <v>45</v>
      </c>
      <c r="H59" s="2">
        <v>10</v>
      </c>
      <c r="I59" s="3">
        <v>0</v>
      </c>
    </row>
    <row r="60" spans="1:9" x14ac:dyDescent="0.25">
      <c r="A60" s="2">
        <v>1656</v>
      </c>
      <c r="B60" s="2">
        <v>1312</v>
      </c>
      <c r="C60" s="2">
        <v>638</v>
      </c>
      <c r="D60" s="2">
        <v>249</v>
      </c>
      <c r="E60" s="2">
        <v>111</v>
      </c>
      <c r="F60" s="2">
        <v>75</v>
      </c>
      <c r="G60" s="2">
        <v>45</v>
      </c>
      <c r="H60" s="2">
        <v>10</v>
      </c>
      <c r="I60" s="3">
        <v>0</v>
      </c>
    </row>
    <row r="61" spans="1:9" x14ac:dyDescent="0.25">
      <c r="A61" s="2">
        <v>1656</v>
      </c>
      <c r="B61" s="2">
        <v>1312</v>
      </c>
      <c r="C61" s="2">
        <v>638</v>
      </c>
      <c r="D61" s="2">
        <v>249</v>
      </c>
      <c r="E61" s="2">
        <v>111</v>
      </c>
      <c r="F61" s="2">
        <v>75</v>
      </c>
      <c r="G61" s="2">
        <v>45</v>
      </c>
      <c r="H61" s="2">
        <v>10</v>
      </c>
      <c r="I61" s="3">
        <v>0</v>
      </c>
    </row>
    <row r="62" spans="1:9" x14ac:dyDescent="0.25">
      <c r="A62" s="2">
        <v>1656</v>
      </c>
      <c r="B62" s="2">
        <v>1312</v>
      </c>
      <c r="C62" s="2">
        <v>638</v>
      </c>
      <c r="D62" s="2">
        <v>249</v>
      </c>
      <c r="E62" s="2">
        <v>111</v>
      </c>
      <c r="F62" s="2">
        <v>75</v>
      </c>
      <c r="G62" s="2">
        <v>45</v>
      </c>
      <c r="H62" s="2">
        <v>10</v>
      </c>
      <c r="I62" s="3">
        <v>0</v>
      </c>
    </row>
    <row r="63" spans="1:9" x14ac:dyDescent="0.25">
      <c r="A63" s="2">
        <v>1656</v>
      </c>
      <c r="B63" s="2">
        <v>1312</v>
      </c>
      <c r="C63" s="2">
        <v>638</v>
      </c>
      <c r="D63" s="2">
        <v>249</v>
      </c>
      <c r="E63" s="2">
        <v>111</v>
      </c>
      <c r="F63" s="2">
        <v>75</v>
      </c>
      <c r="G63" s="2">
        <v>45</v>
      </c>
      <c r="H63" s="2">
        <v>10</v>
      </c>
      <c r="I63" s="3">
        <v>0</v>
      </c>
    </row>
    <row r="64" spans="1:9" x14ac:dyDescent="0.25">
      <c r="A64" s="2">
        <v>1656</v>
      </c>
      <c r="B64" s="2">
        <v>1312</v>
      </c>
      <c r="C64" s="2">
        <v>638</v>
      </c>
      <c r="D64" s="2">
        <v>249</v>
      </c>
      <c r="E64" s="2">
        <v>111</v>
      </c>
      <c r="F64" s="2">
        <v>75</v>
      </c>
      <c r="G64" s="2">
        <v>45</v>
      </c>
      <c r="H64" s="2">
        <v>10</v>
      </c>
      <c r="I64" s="3">
        <v>0</v>
      </c>
    </row>
    <row r="65" spans="1:9" x14ac:dyDescent="0.25">
      <c r="A65" s="2">
        <v>1656</v>
      </c>
      <c r="B65" s="2">
        <v>1312</v>
      </c>
      <c r="C65" s="2">
        <v>638</v>
      </c>
      <c r="D65" s="2">
        <v>249</v>
      </c>
      <c r="E65" s="2">
        <v>111</v>
      </c>
      <c r="F65" s="2">
        <v>75</v>
      </c>
      <c r="G65" s="2">
        <v>45</v>
      </c>
      <c r="H65" s="2">
        <v>10</v>
      </c>
      <c r="I65" s="3">
        <v>0</v>
      </c>
    </row>
    <row r="66" spans="1:9" x14ac:dyDescent="0.25">
      <c r="A66" s="2">
        <v>1656</v>
      </c>
      <c r="B66" s="2">
        <v>1312</v>
      </c>
      <c r="C66" s="2">
        <v>638</v>
      </c>
      <c r="D66" s="2">
        <v>249</v>
      </c>
      <c r="E66" s="2">
        <v>111</v>
      </c>
      <c r="F66" s="2">
        <v>75</v>
      </c>
      <c r="G66" s="2">
        <v>45</v>
      </c>
      <c r="H66" s="2">
        <v>10</v>
      </c>
      <c r="I66" s="3">
        <v>0</v>
      </c>
    </row>
    <row r="67" spans="1:9" x14ac:dyDescent="0.25">
      <c r="A67" s="2">
        <v>1656</v>
      </c>
      <c r="B67" s="2">
        <v>1312</v>
      </c>
      <c r="C67" s="2">
        <v>638</v>
      </c>
      <c r="D67" s="2">
        <v>249</v>
      </c>
      <c r="E67" s="2">
        <v>111</v>
      </c>
      <c r="F67" s="2">
        <v>75</v>
      </c>
      <c r="G67" s="2">
        <v>45</v>
      </c>
      <c r="H67" s="2">
        <v>10</v>
      </c>
      <c r="I67" s="3">
        <v>0</v>
      </c>
    </row>
    <row r="68" spans="1:9" x14ac:dyDescent="0.25">
      <c r="A68" s="2">
        <v>1656</v>
      </c>
      <c r="B68" s="2">
        <v>1312</v>
      </c>
      <c r="C68" s="2">
        <v>638</v>
      </c>
      <c r="D68" s="2">
        <v>249</v>
      </c>
      <c r="E68" s="2">
        <v>111</v>
      </c>
      <c r="F68" s="2">
        <v>75</v>
      </c>
      <c r="G68" s="2">
        <v>45</v>
      </c>
      <c r="H68" s="2">
        <v>10</v>
      </c>
      <c r="I68" s="3">
        <v>0</v>
      </c>
    </row>
    <row r="69" spans="1:9" x14ac:dyDescent="0.25">
      <c r="A69" s="2">
        <v>1656</v>
      </c>
      <c r="B69" s="2">
        <v>1312</v>
      </c>
      <c r="C69" s="2">
        <v>638</v>
      </c>
      <c r="D69" s="2">
        <v>249</v>
      </c>
      <c r="E69" s="2">
        <v>111</v>
      </c>
      <c r="F69" s="2">
        <v>75</v>
      </c>
      <c r="G69" s="2">
        <v>45</v>
      </c>
      <c r="H69" s="2">
        <v>10</v>
      </c>
      <c r="I69" s="3">
        <v>0</v>
      </c>
    </row>
    <row r="70" spans="1:9" x14ac:dyDescent="0.25">
      <c r="A70" s="2">
        <v>1656</v>
      </c>
      <c r="B70" s="2">
        <v>1312</v>
      </c>
      <c r="C70" s="2">
        <v>638</v>
      </c>
      <c r="D70" s="2">
        <v>249</v>
      </c>
      <c r="E70" s="2">
        <v>111</v>
      </c>
      <c r="F70" s="2">
        <v>75</v>
      </c>
      <c r="G70" s="2">
        <v>45</v>
      </c>
      <c r="H70" s="2">
        <v>10</v>
      </c>
      <c r="I70" s="3">
        <v>0</v>
      </c>
    </row>
    <row r="71" spans="1:9" x14ac:dyDescent="0.25">
      <c r="A71" s="2">
        <v>1656</v>
      </c>
      <c r="B71" s="2">
        <v>1312</v>
      </c>
      <c r="C71" s="2">
        <v>638</v>
      </c>
      <c r="D71" s="2">
        <v>249</v>
      </c>
      <c r="E71" s="2">
        <v>111</v>
      </c>
      <c r="F71" s="2">
        <v>75</v>
      </c>
      <c r="G71" s="2">
        <v>45</v>
      </c>
      <c r="H71" s="2">
        <v>10</v>
      </c>
      <c r="I71" s="3">
        <v>0</v>
      </c>
    </row>
    <row r="72" spans="1:9" x14ac:dyDescent="0.25">
      <c r="A72" s="2">
        <v>1656</v>
      </c>
      <c r="B72" s="2">
        <v>1312</v>
      </c>
      <c r="C72" s="2">
        <v>638</v>
      </c>
      <c r="D72" s="2">
        <v>249</v>
      </c>
      <c r="E72" s="2">
        <v>111</v>
      </c>
      <c r="F72" s="2">
        <v>75</v>
      </c>
      <c r="G72" s="2">
        <v>45</v>
      </c>
      <c r="H72" s="2">
        <v>10</v>
      </c>
      <c r="I72" s="3">
        <v>0</v>
      </c>
    </row>
    <row r="73" spans="1:9" x14ac:dyDescent="0.25">
      <c r="A73" s="2">
        <v>1656</v>
      </c>
      <c r="B73" s="2">
        <v>1312</v>
      </c>
      <c r="C73" s="2">
        <v>638</v>
      </c>
      <c r="D73" s="2">
        <v>249</v>
      </c>
      <c r="E73" s="2">
        <v>111</v>
      </c>
      <c r="F73" s="2">
        <v>75</v>
      </c>
      <c r="G73" s="2">
        <v>45</v>
      </c>
      <c r="H73" s="2">
        <v>10</v>
      </c>
      <c r="I73" s="3">
        <v>0</v>
      </c>
    </row>
    <row r="74" spans="1:9" x14ac:dyDescent="0.25">
      <c r="A74" s="2">
        <v>1656</v>
      </c>
      <c r="B74" s="2">
        <v>1312</v>
      </c>
      <c r="C74" s="2">
        <v>638</v>
      </c>
      <c r="D74" s="2">
        <v>249</v>
      </c>
      <c r="E74" s="2">
        <v>111</v>
      </c>
      <c r="F74" s="2">
        <v>75</v>
      </c>
      <c r="G74" s="2">
        <v>45</v>
      </c>
      <c r="H74" s="2">
        <v>10</v>
      </c>
      <c r="I74" s="3">
        <v>0</v>
      </c>
    </row>
    <row r="75" spans="1:9" x14ac:dyDescent="0.25">
      <c r="A75" s="2">
        <v>1656</v>
      </c>
      <c r="B75" s="2">
        <v>1312</v>
      </c>
      <c r="C75" s="2">
        <v>638</v>
      </c>
      <c r="D75" s="2">
        <v>249</v>
      </c>
      <c r="E75" s="2">
        <v>111</v>
      </c>
      <c r="F75" s="2">
        <v>75</v>
      </c>
      <c r="G75" s="2">
        <v>45</v>
      </c>
      <c r="H75" s="2">
        <v>10</v>
      </c>
      <c r="I75" s="3">
        <v>0</v>
      </c>
    </row>
    <row r="76" spans="1:9" x14ac:dyDescent="0.25">
      <c r="A76" s="2">
        <v>1656</v>
      </c>
      <c r="B76" s="2">
        <v>1312</v>
      </c>
      <c r="C76" s="2">
        <v>638</v>
      </c>
      <c r="D76" s="2">
        <v>249</v>
      </c>
      <c r="E76" s="2">
        <v>111</v>
      </c>
      <c r="F76" s="2">
        <v>75</v>
      </c>
      <c r="G76" s="2">
        <v>45</v>
      </c>
      <c r="H76" s="2">
        <v>10</v>
      </c>
      <c r="I76" s="3">
        <v>0</v>
      </c>
    </row>
    <row r="77" spans="1:9" x14ac:dyDescent="0.25">
      <c r="A77" s="2">
        <v>1656</v>
      </c>
      <c r="B77" s="2">
        <v>1312</v>
      </c>
      <c r="C77" s="2">
        <v>638</v>
      </c>
      <c r="D77" s="2">
        <v>249</v>
      </c>
      <c r="E77" s="2">
        <v>111</v>
      </c>
      <c r="F77" s="2">
        <v>75</v>
      </c>
      <c r="G77" s="2">
        <v>45</v>
      </c>
      <c r="H77" s="2">
        <v>10</v>
      </c>
      <c r="I77" s="3">
        <v>0</v>
      </c>
    </row>
    <row r="78" spans="1:9" x14ac:dyDescent="0.25">
      <c r="A78" s="2">
        <v>1656</v>
      </c>
      <c r="B78" s="2">
        <v>1312</v>
      </c>
      <c r="C78" s="2">
        <v>638</v>
      </c>
      <c r="D78" s="2">
        <v>249</v>
      </c>
      <c r="E78" s="2">
        <v>111</v>
      </c>
      <c r="F78" s="2">
        <v>75</v>
      </c>
      <c r="G78" s="2">
        <v>45</v>
      </c>
      <c r="H78" s="2">
        <v>10</v>
      </c>
      <c r="I78" s="3">
        <v>0</v>
      </c>
    </row>
    <row r="79" spans="1:9" x14ac:dyDescent="0.25">
      <c r="A79" s="2">
        <v>1656</v>
      </c>
      <c r="B79" s="2">
        <v>1312</v>
      </c>
      <c r="C79" s="2">
        <v>638</v>
      </c>
      <c r="D79" s="2">
        <v>249</v>
      </c>
      <c r="E79" s="2">
        <v>111</v>
      </c>
      <c r="F79" s="2">
        <v>75</v>
      </c>
      <c r="G79" s="2">
        <v>45</v>
      </c>
      <c r="H79" s="2">
        <v>10</v>
      </c>
      <c r="I79" s="3">
        <v>0</v>
      </c>
    </row>
    <row r="80" spans="1:9" x14ac:dyDescent="0.25">
      <c r="A80" s="2">
        <v>1656</v>
      </c>
      <c r="B80" s="2">
        <v>1312</v>
      </c>
      <c r="C80" s="2">
        <v>638</v>
      </c>
      <c r="D80" s="2">
        <v>249</v>
      </c>
      <c r="E80" s="2">
        <v>111</v>
      </c>
      <c r="F80" s="2">
        <v>75</v>
      </c>
      <c r="G80" s="2">
        <v>45</v>
      </c>
      <c r="H80" s="2">
        <v>10</v>
      </c>
      <c r="I80" s="3">
        <v>0</v>
      </c>
    </row>
    <row r="81" spans="1:9" x14ac:dyDescent="0.25">
      <c r="A81" s="2">
        <v>1656</v>
      </c>
      <c r="B81" s="2">
        <v>1312</v>
      </c>
      <c r="C81" s="2">
        <v>638</v>
      </c>
      <c r="D81" s="2">
        <v>249</v>
      </c>
      <c r="E81" s="2">
        <v>111</v>
      </c>
      <c r="F81" s="2">
        <v>75</v>
      </c>
      <c r="G81" s="2">
        <v>45</v>
      </c>
      <c r="H81" s="2">
        <v>10</v>
      </c>
      <c r="I81" s="3">
        <v>0</v>
      </c>
    </row>
    <row r="82" spans="1:9" x14ac:dyDescent="0.25">
      <c r="A82" s="2">
        <v>1656</v>
      </c>
      <c r="B82" s="2">
        <v>1312</v>
      </c>
      <c r="C82" s="2">
        <v>638</v>
      </c>
      <c r="D82" s="2">
        <v>249</v>
      </c>
      <c r="E82" s="2">
        <v>111</v>
      </c>
      <c r="F82" s="2">
        <v>75</v>
      </c>
      <c r="G82" s="2">
        <v>45</v>
      </c>
      <c r="H82" s="2">
        <v>10</v>
      </c>
      <c r="I82" s="3">
        <v>0</v>
      </c>
    </row>
    <row r="83" spans="1:9" x14ac:dyDescent="0.25">
      <c r="A83" s="2">
        <v>1656</v>
      </c>
      <c r="B83" s="2">
        <v>1312</v>
      </c>
      <c r="C83" s="2">
        <v>638</v>
      </c>
      <c r="D83" s="2">
        <v>249</v>
      </c>
      <c r="E83" s="2">
        <v>111</v>
      </c>
      <c r="F83" s="2">
        <v>75</v>
      </c>
      <c r="G83" s="2">
        <v>45</v>
      </c>
      <c r="H83" s="2">
        <v>10</v>
      </c>
      <c r="I83" s="3">
        <v>0</v>
      </c>
    </row>
    <row r="84" spans="1:9" x14ac:dyDescent="0.25">
      <c r="A84" s="2">
        <v>1656</v>
      </c>
      <c r="B84" s="2">
        <v>1312</v>
      </c>
      <c r="C84" s="2">
        <v>638</v>
      </c>
      <c r="D84" s="2">
        <v>249</v>
      </c>
      <c r="E84" s="2">
        <v>111</v>
      </c>
      <c r="F84" s="2">
        <v>75</v>
      </c>
      <c r="G84" s="2">
        <v>45</v>
      </c>
      <c r="H84" s="2">
        <v>10</v>
      </c>
      <c r="I84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1975-E871-4620-9F5C-1978D9C93943}">
  <dimension ref="A1:X84"/>
  <sheetViews>
    <sheetView zoomScale="70" zoomScaleNormal="70" workbookViewId="0">
      <selection activeCell="U14" sqref="U14"/>
    </sheetView>
  </sheetViews>
  <sheetFormatPr defaultRowHeight="15" x14ac:dyDescent="0.25"/>
  <cols>
    <col min="1" max="1" width="9.140625" customWidth="1"/>
    <col min="9" max="9" width="7.28515625" bestFit="1" customWidth="1"/>
    <col min="10" max="10" width="11.42578125" bestFit="1" customWidth="1"/>
    <col min="11" max="11" width="10.5703125" bestFit="1" customWidth="1"/>
    <col min="12" max="12" width="11" bestFit="1" customWidth="1"/>
    <col min="13" max="13" width="8.7109375" bestFit="1" customWidth="1"/>
    <col min="14" max="17" width="10.7109375" customWidth="1"/>
    <col min="18" max="18" width="12.85546875" bestFit="1" customWidth="1"/>
    <col min="19" max="19" width="9.5703125" bestFit="1" customWidth="1"/>
    <col min="20" max="20" width="10.28515625" bestFit="1" customWidth="1"/>
    <col min="21" max="21" width="7.28515625" customWidth="1"/>
    <col min="22" max="22" width="6" customWidth="1"/>
    <col min="23" max="23" width="5.5703125" customWidth="1"/>
    <col min="24" max="24" width="3.85546875" bestFit="1" customWidth="1"/>
  </cols>
  <sheetData>
    <row r="1" spans="1:24" x14ac:dyDescent="0.25">
      <c r="A1" t="s">
        <v>53</v>
      </c>
      <c r="J1" s="1"/>
      <c r="K1" s="1"/>
      <c r="L1" s="1"/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13" t="s">
        <v>9</v>
      </c>
      <c r="U2" s="13" t="s">
        <v>55</v>
      </c>
      <c r="V2" s="13" t="s">
        <v>56</v>
      </c>
      <c r="W2" s="13" t="s">
        <v>57</v>
      </c>
      <c r="X2" s="13" t="s">
        <v>58</v>
      </c>
    </row>
    <row r="3" spans="1:24" x14ac:dyDescent="0.25">
      <c r="A3" s="15">
        <v>1470</v>
      </c>
      <c r="B3" s="15">
        <v>1440</v>
      </c>
      <c r="C3" s="15">
        <v>713</v>
      </c>
      <c r="D3" s="15">
        <v>244</v>
      </c>
      <c r="E3" s="15">
        <v>123</v>
      </c>
      <c r="F3" s="15">
        <v>53</v>
      </c>
      <c r="G3" s="15">
        <v>40</v>
      </c>
      <c r="H3" s="15">
        <v>13</v>
      </c>
      <c r="I3" s="15">
        <v>0</v>
      </c>
      <c r="J3" s="16">
        <f t="shared" ref="J3:J42" si="0">SUMSQ(A3-A45)</f>
        <v>1600</v>
      </c>
      <c r="K3" s="16">
        <f t="shared" ref="K3:K42" si="1">SUMSQ(B3-B45)</f>
        <v>10201</v>
      </c>
      <c r="L3" s="16">
        <f t="shared" ref="L3:L42" si="2">SUMSQ(C3-C45)</f>
        <v>121</v>
      </c>
      <c r="M3" s="15">
        <f t="shared" ref="M3:M42" si="3">SUMSQ(D3-D45)</f>
        <v>1521</v>
      </c>
      <c r="N3" s="16">
        <f t="shared" ref="N3:N42" si="4">SUMSQ(E3-E45)</f>
        <v>9</v>
      </c>
      <c r="O3" s="16">
        <f t="shared" ref="O3:O42" si="5">SUMSQ(F3-F45)</f>
        <v>441</v>
      </c>
      <c r="P3" s="16">
        <f t="shared" ref="P3:P42" si="6">SUMSQ(G3-G45)</f>
        <v>25</v>
      </c>
      <c r="Q3" s="16">
        <f t="shared" ref="Q3:Q42" si="7">SUMSQ(H3-H45)</f>
        <v>16</v>
      </c>
      <c r="R3" s="16">
        <f t="shared" ref="R3:R10" si="8">SUM(J3:Q3)</f>
        <v>13934</v>
      </c>
      <c r="S3" s="16">
        <f t="shared" ref="S3:S10" si="9">SQRT(R3)</f>
        <v>118.04236527620073</v>
      </c>
      <c r="T3" s="15">
        <v>1</v>
      </c>
      <c r="U3" s="15" t="s">
        <v>59</v>
      </c>
      <c r="V3" s="15">
        <v>19</v>
      </c>
      <c r="W3" s="15">
        <v>16</v>
      </c>
      <c r="X3" s="15">
        <v>35</v>
      </c>
    </row>
    <row r="4" spans="1:24" x14ac:dyDescent="0.25">
      <c r="A4" s="15">
        <v>1927</v>
      </c>
      <c r="B4" s="15">
        <v>1325</v>
      </c>
      <c r="C4" s="15">
        <v>498</v>
      </c>
      <c r="D4" s="15">
        <v>193</v>
      </c>
      <c r="E4" s="15">
        <v>77</v>
      </c>
      <c r="F4" s="15">
        <v>38</v>
      </c>
      <c r="G4" s="15">
        <v>36</v>
      </c>
      <c r="H4" s="15">
        <v>2</v>
      </c>
      <c r="I4" s="15">
        <v>0</v>
      </c>
      <c r="J4" s="16">
        <f t="shared" si="0"/>
        <v>173889</v>
      </c>
      <c r="K4" s="16">
        <f t="shared" si="1"/>
        <v>196</v>
      </c>
      <c r="L4" s="16">
        <f t="shared" si="2"/>
        <v>41616</v>
      </c>
      <c r="M4" s="15">
        <f t="shared" si="3"/>
        <v>8100</v>
      </c>
      <c r="N4" s="16">
        <f t="shared" si="4"/>
        <v>2401</v>
      </c>
      <c r="O4" s="16">
        <f t="shared" si="5"/>
        <v>1296</v>
      </c>
      <c r="P4" s="16">
        <f t="shared" si="6"/>
        <v>81</v>
      </c>
      <c r="Q4" s="16">
        <f t="shared" si="7"/>
        <v>225</v>
      </c>
      <c r="R4" s="16">
        <f t="shared" si="8"/>
        <v>227804</v>
      </c>
      <c r="S4" s="16">
        <f t="shared" si="9"/>
        <v>477.28817291024507</v>
      </c>
      <c r="T4" s="15">
        <v>31</v>
      </c>
      <c r="U4" s="15" t="s">
        <v>59</v>
      </c>
      <c r="V4" s="15">
        <v>19</v>
      </c>
      <c r="W4" s="15">
        <v>16</v>
      </c>
      <c r="X4" s="15">
        <v>35</v>
      </c>
    </row>
    <row r="5" spans="1:24" x14ac:dyDescent="0.25">
      <c r="A5" s="15">
        <v>1633</v>
      </c>
      <c r="B5" s="15">
        <v>1364</v>
      </c>
      <c r="C5" s="15">
        <v>636</v>
      </c>
      <c r="D5" s="15">
        <v>262</v>
      </c>
      <c r="E5" s="15">
        <v>104</v>
      </c>
      <c r="F5" s="15">
        <v>69</v>
      </c>
      <c r="G5" s="15">
        <v>9</v>
      </c>
      <c r="H5" s="15">
        <v>19</v>
      </c>
      <c r="I5" s="15">
        <v>0</v>
      </c>
      <c r="J5" s="16">
        <f t="shared" si="0"/>
        <v>15129</v>
      </c>
      <c r="K5" s="16">
        <f t="shared" si="1"/>
        <v>625</v>
      </c>
      <c r="L5" s="16">
        <f t="shared" si="2"/>
        <v>4356</v>
      </c>
      <c r="M5" s="15">
        <f t="shared" si="3"/>
        <v>441</v>
      </c>
      <c r="N5" s="16">
        <f t="shared" si="4"/>
        <v>484</v>
      </c>
      <c r="O5" s="16">
        <f t="shared" si="5"/>
        <v>25</v>
      </c>
      <c r="P5" s="16">
        <f t="shared" si="6"/>
        <v>1296</v>
      </c>
      <c r="Q5" s="16">
        <f t="shared" si="7"/>
        <v>4</v>
      </c>
      <c r="R5" s="16">
        <f t="shared" si="8"/>
        <v>22360</v>
      </c>
      <c r="S5" s="16">
        <f t="shared" si="9"/>
        <v>149.53260514014994</v>
      </c>
      <c r="T5" s="15">
        <v>6</v>
      </c>
      <c r="U5" s="15" t="s">
        <v>59</v>
      </c>
      <c r="V5" s="15">
        <v>19</v>
      </c>
      <c r="W5" s="15">
        <v>16</v>
      </c>
      <c r="X5" s="15">
        <v>35</v>
      </c>
    </row>
    <row r="6" spans="1:24" x14ac:dyDescent="0.25">
      <c r="A6" s="15">
        <v>1257</v>
      </c>
      <c r="B6" s="15">
        <v>1255</v>
      </c>
      <c r="C6" s="15">
        <v>840</v>
      </c>
      <c r="D6" s="15">
        <v>420</v>
      </c>
      <c r="E6" s="15">
        <v>226</v>
      </c>
      <c r="F6" s="15">
        <v>49</v>
      </c>
      <c r="G6" s="15">
        <v>30</v>
      </c>
      <c r="H6" s="15">
        <v>19</v>
      </c>
      <c r="I6" s="15">
        <v>0</v>
      </c>
      <c r="J6" s="16">
        <f t="shared" si="0"/>
        <v>64009</v>
      </c>
      <c r="K6" s="16">
        <f t="shared" si="1"/>
        <v>7056</v>
      </c>
      <c r="L6" s="16">
        <f t="shared" si="2"/>
        <v>19044</v>
      </c>
      <c r="M6" s="15">
        <f t="shared" si="3"/>
        <v>18769</v>
      </c>
      <c r="N6" s="16">
        <f t="shared" si="4"/>
        <v>10000</v>
      </c>
      <c r="O6" s="16">
        <f t="shared" si="5"/>
        <v>625</v>
      </c>
      <c r="P6" s="16">
        <f t="shared" si="6"/>
        <v>225</v>
      </c>
      <c r="Q6" s="16">
        <f t="shared" si="7"/>
        <v>4</v>
      </c>
      <c r="R6" s="16">
        <f t="shared" si="8"/>
        <v>119732</v>
      </c>
      <c r="S6" s="16">
        <f t="shared" si="9"/>
        <v>346.02312061479358</v>
      </c>
      <c r="T6" s="15">
        <v>26</v>
      </c>
      <c r="U6" s="15" t="s">
        <v>59</v>
      </c>
      <c r="V6" s="15">
        <v>19</v>
      </c>
      <c r="W6" s="15">
        <v>16</v>
      </c>
      <c r="X6" s="15">
        <v>35</v>
      </c>
    </row>
    <row r="7" spans="1:24" x14ac:dyDescent="0.25">
      <c r="A7" s="15">
        <v>1196</v>
      </c>
      <c r="B7" s="15">
        <v>1254</v>
      </c>
      <c r="C7" s="15">
        <v>919</v>
      </c>
      <c r="D7" s="15">
        <v>384</v>
      </c>
      <c r="E7" s="15">
        <v>186</v>
      </c>
      <c r="F7" s="15">
        <v>96</v>
      </c>
      <c r="G7" s="15">
        <v>36</v>
      </c>
      <c r="H7" s="15">
        <v>25</v>
      </c>
      <c r="I7" s="15">
        <v>0</v>
      </c>
      <c r="J7" s="16">
        <f t="shared" si="0"/>
        <v>98596</v>
      </c>
      <c r="K7" s="16">
        <f t="shared" si="1"/>
        <v>7225</v>
      </c>
      <c r="L7" s="16">
        <f t="shared" si="2"/>
        <v>47089</v>
      </c>
      <c r="M7" s="15">
        <f t="shared" si="3"/>
        <v>10201</v>
      </c>
      <c r="N7" s="16">
        <f t="shared" si="4"/>
        <v>3600</v>
      </c>
      <c r="O7" s="16">
        <f t="shared" si="5"/>
        <v>484</v>
      </c>
      <c r="P7" s="16">
        <f t="shared" si="6"/>
        <v>81</v>
      </c>
      <c r="Q7" s="16">
        <f t="shared" si="7"/>
        <v>64</v>
      </c>
      <c r="R7" s="16">
        <f t="shared" si="8"/>
        <v>167340</v>
      </c>
      <c r="S7" s="16">
        <f t="shared" si="9"/>
        <v>409.07212078067602</v>
      </c>
      <c r="T7" s="15">
        <v>28</v>
      </c>
      <c r="U7" s="15" t="s">
        <v>59</v>
      </c>
      <c r="V7" s="15">
        <v>19</v>
      </c>
      <c r="W7" s="15">
        <v>16</v>
      </c>
      <c r="X7" s="15">
        <v>35</v>
      </c>
    </row>
    <row r="8" spans="1:24" x14ac:dyDescent="0.25">
      <c r="A8" s="15">
        <v>1760</v>
      </c>
      <c r="B8" s="15">
        <v>1267</v>
      </c>
      <c r="C8" s="15">
        <v>695</v>
      </c>
      <c r="D8" s="15">
        <v>236</v>
      </c>
      <c r="E8" s="15">
        <v>91</v>
      </c>
      <c r="F8" s="15">
        <v>25</v>
      </c>
      <c r="G8" s="15">
        <v>4</v>
      </c>
      <c r="H8" s="15">
        <v>18</v>
      </c>
      <c r="I8" s="15">
        <v>0</v>
      </c>
      <c r="J8" s="16">
        <f t="shared" si="0"/>
        <v>62500</v>
      </c>
      <c r="K8" s="16">
        <f t="shared" si="1"/>
        <v>5184</v>
      </c>
      <c r="L8" s="16">
        <f t="shared" si="2"/>
        <v>49</v>
      </c>
      <c r="M8" s="15">
        <f t="shared" si="3"/>
        <v>2209</v>
      </c>
      <c r="N8" s="16">
        <f t="shared" si="4"/>
        <v>1225</v>
      </c>
      <c r="O8" s="16">
        <f t="shared" si="5"/>
        <v>2401</v>
      </c>
      <c r="P8" s="16">
        <f t="shared" si="6"/>
        <v>1681</v>
      </c>
      <c r="Q8" s="16">
        <f t="shared" si="7"/>
        <v>1</v>
      </c>
      <c r="R8" s="16">
        <f t="shared" si="8"/>
        <v>75250</v>
      </c>
      <c r="S8" s="16">
        <f t="shared" si="9"/>
        <v>274.31733448690403</v>
      </c>
      <c r="T8" s="15">
        <v>15</v>
      </c>
      <c r="U8" s="15" t="s">
        <v>59</v>
      </c>
      <c r="V8" s="15">
        <v>19</v>
      </c>
      <c r="W8" s="15">
        <v>16</v>
      </c>
      <c r="X8" s="15">
        <v>35</v>
      </c>
    </row>
    <row r="9" spans="1:24" x14ac:dyDescent="0.25">
      <c r="A9" s="15">
        <v>1186</v>
      </c>
      <c r="B9" s="15">
        <v>1469</v>
      </c>
      <c r="C9" s="15">
        <v>896</v>
      </c>
      <c r="D9" s="15">
        <v>352</v>
      </c>
      <c r="E9" s="15">
        <v>101</v>
      </c>
      <c r="F9" s="15">
        <v>53</v>
      </c>
      <c r="G9" s="15">
        <v>20</v>
      </c>
      <c r="H9" s="15">
        <v>19</v>
      </c>
      <c r="I9" s="15">
        <v>0</v>
      </c>
      <c r="J9" s="16">
        <f t="shared" si="0"/>
        <v>104976</v>
      </c>
      <c r="K9" s="16">
        <f t="shared" si="1"/>
        <v>16900</v>
      </c>
      <c r="L9" s="16">
        <f t="shared" si="2"/>
        <v>37636</v>
      </c>
      <c r="M9" s="15">
        <f t="shared" si="3"/>
        <v>4761</v>
      </c>
      <c r="N9" s="16">
        <f t="shared" si="4"/>
        <v>625</v>
      </c>
      <c r="O9" s="16">
        <f t="shared" si="5"/>
        <v>441</v>
      </c>
      <c r="P9" s="16">
        <f t="shared" si="6"/>
        <v>625</v>
      </c>
      <c r="Q9" s="16">
        <f t="shared" si="7"/>
        <v>4</v>
      </c>
      <c r="R9" s="16">
        <f t="shared" si="8"/>
        <v>165968</v>
      </c>
      <c r="S9" s="16">
        <f t="shared" si="9"/>
        <v>407.39170340103885</v>
      </c>
      <c r="T9" s="15">
        <v>27</v>
      </c>
      <c r="U9" s="15" t="s">
        <v>59</v>
      </c>
      <c r="V9" s="15">
        <v>19</v>
      </c>
      <c r="W9" s="15">
        <v>16</v>
      </c>
      <c r="X9" s="15">
        <v>35</v>
      </c>
    </row>
    <row r="10" spans="1:24" x14ac:dyDescent="0.25">
      <c r="A10" s="15">
        <v>1448</v>
      </c>
      <c r="B10" s="15">
        <v>1285</v>
      </c>
      <c r="C10" s="15">
        <v>798</v>
      </c>
      <c r="D10" s="15">
        <v>337</v>
      </c>
      <c r="E10" s="15">
        <v>96</v>
      </c>
      <c r="F10" s="15">
        <v>81</v>
      </c>
      <c r="G10" s="15">
        <v>26</v>
      </c>
      <c r="H10" s="15">
        <v>25</v>
      </c>
      <c r="I10" s="15">
        <v>0</v>
      </c>
      <c r="J10" s="16">
        <f t="shared" si="0"/>
        <v>3844</v>
      </c>
      <c r="K10" s="16">
        <f t="shared" si="1"/>
        <v>2916</v>
      </c>
      <c r="L10" s="16">
        <f t="shared" si="2"/>
        <v>9216</v>
      </c>
      <c r="M10" s="15">
        <f t="shared" si="3"/>
        <v>2916</v>
      </c>
      <c r="N10" s="16">
        <f t="shared" si="4"/>
        <v>900</v>
      </c>
      <c r="O10" s="16">
        <f t="shared" si="5"/>
        <v>49</v>
      </c>
      <c r="P10" s="16">
        <f t="shared" si="6"/>
        <v>361</v>
      </c>
      <c r="Q10" s="16">
        <f t="shared" si="7"/>
        <v>64</v>
      </c>
      <c r="R10" s="16">
        <f t="shared" si="8"/>
        <v>20266</v>
      </c>
      <c r="S10" s="16">
        <f t="shared" si="9"/>
        <v>142.35870187663275</v>
      </c>
      <c r="T10" s="15">
        <v>5</v>
      </c>
      <c r="U10" s="15" t="s">
        <v>59</v>
      </c>
      <c r="V10" s="15">
        <v>19</v>
      </c>
      <c r="W10" s="15">
        <v>16</v>
      </c>
      <c r="X10" s="15">
        <v>35</v>
      </c>
    </row>
    <row r="11" spans="1:24" x14ac:dyDescent="0.25">
      <c r="A11" s="2">
        <v>2416</v>
      </c>
      <c r="B11" s="2">
        <v>1181</v>
      </c>
      <c r="C11" s="2">
        <v>320</v>
      </c>
      <c r="D11" s="2">
        <v>131</v>
      </c>
      <c r="E11" s="2">
        <v>37</v>
      </c>
      <c r="F11" s="2">
        <v>3</v>
      </c>
      <c r="G11" s="2">
        <v>4</v>
      </c>
      <c r="H11" s="2">
        <v>4</v>
      </c>
      <c r="I11" s="2">
        <v>0</v>
      </c>
      <c r="J11" s="7">
        <f t="shared" si="0"/>
        <v>820836</v>
      </c>
      <c r="K11" s="7">
        <f t="shared" si="1"/>
        <v>24964</v>
      </c>
      <c r="L11" s="7">
        <f t="shared" si="2"/>
        <v>145924</v>
      </c>
      <c r="M11" s="2">
        <f t="shared" si="3"/>
        <v>23104</v>
      </c>
      <c r="N11" s="7">
        <f t="shared" si="4"/>
        <v>7921</v>
      </c>
      <c r="O11" s="7">
        <f t="shared" si="5"/>
        <v>5041</v>
      </c>
      <c r="P11" s="7">
        <f t="shared" si="6"/>
        <v>1681</v>
      </c>
      <c r="Q11" s="7">
        <f t="shared" si="7"/>
        <v>169</v>
      </c>
      <c r="R11" s="7">
        <f>SUM(J11:Q11)</f>
        <v>1029640</v>
      </c>
      <c r="S11" s="7">
        <f>SQRT(R11)</f>
        <v>1014.7117817390315</v>
      </c>
      <c r="T11" s="2">
        <v>40</v>
      </c>
      <c r="U11" s="2" t="s">
        <v>60</v>
      </c>
      <c r="V11" s="2">
        <v>19</v>
      </c>
      <c r="W11" s="2">
        <v>16</v>
      </c>
      <c r="X11" s="2">
        <v>35</v>
      </c>
    </row>
    <row r="12" spans="1:24" x14ac:dyDescent="0.25">
      <c r="A12" s="15">
        <v>1265</v>
      </c>
      <c r="B12" s="15">
        <v>1258</v>
      </c>
      <c r="C12" s="15">
        <v>781</v>
      </c>
      <c r="D12" s="15">
        <v>404</v>
      </c>
      <c r="E12" s="15">
        <v>196</v>
      </c>
      <c r="F12" s="15">
        <v>106</v>
      </c>
      <c r="G12" s="15">
        <v>54</v>
      </c>
      <c r="H12" s="15">
        <v>32</v>
      </c>
      <c r="I12" s="15">
        <v>0</v>
      </c>
      <c r="J12" s="16">
        <f t="shared" si="0"/>
        <v>60025</v>
      </c>
      <c r="K12" s="16">
        <f t="shared" si="1"/>
        <v>6561</v>
      </c>
      <c r="L12" s="16">
        <f t="shared" si="2"/>
        <v>6241</v>
      </c>
      <c r="M12" s="15">
        <f t="shared" si="3"/>
        <v>14641</v>
      </c>
      <c r="N12" s="16">
        <f t="shared" si="4"/>
        <v>4900</v>
      </c>
      <c r="O12" s="16">
        <f t="shared" si="5"/>
        <v>1024</v>
      </c>
      <c r="P12" s="16">
        <f t="shared" si="6"/>
        <v>81</v>
      </c>
      <c r="Q12" s="16">
        <f t="shared" si="7"/>
        <v>225</v>
      </c>
      <c r="R12" s="16">
        <f>SUM(J12:Q12)</f>
        <v>93698</v>
      </c>
      <c r="S12" s="16">
        <f>SQRT(R12)</f>
        <v>306.10129042524471</v>
      </c>
      <c r="T12" s="15">
        <v>17</v>
      </c>
      <c r="U12" s="15" t="s">
        <v>59</v>
      </c>
      <c r="V12" s="15">
        <v>19</v>
      </c>
      <c r="W12" s="15">
        <v>16</v>
      </c>
      <c r="X12" s="15">
        <v>35</v>
      </c>
    </row>
    <row r="13" spans="1:24" x14ac:dyDescent="0.25">
      <c r="A13" s="15">
        <v>1422</v>
      </c>
      <c r="B13" s="15">
        <v>1312</v>
      </c>
      <c r="C13" s="15">
        <v>783</v>
      </c>
      <c r="D13" s="15">
        <v>336</v>
      </c>
      <c r="E13" s="15">
        <v>116</v>
      </c>
      <c r="F13" s="15">
        <v>65</v>
      </c>
      <c r="G13" s="15">
        <v>29</v>
      </c>
      <c r="H13" s="15">
        <v>33</v>
      </c>
      <c r="I13" s="15">
        <v>0</v>
      </c>
      <c r="J13" s="16">
        <f t="shared" si="0"/>
        <v>7744</v>
      </c>
      <c r="K13" s="16">
        <f t="shared" si="1"/>
        <v>729</v>
      </c>
      <c r="L13" s="16">
        <f t="shared" si="2"/>
        <v>6561</v>
      </c>
      <c r="M13" s="15">
        <f t="shared" si="3"/>
        <v>2809</v>
      </c>
      <c r="N13" s="16">
        <f t="shared" si="4"/>
        <v>100</v>
      </c>
      <c r="O13" s="16">
        <f t="shared" si="5"/>
        <v>81</v>
      </c>
      <c r="P13" s="16">
        <f t="shared" si="6"/>
        <v>256</v>
      </c>
      <c r="Q13" s="16">
        <f t="shared" si="7"/>
        <v>256</v>
      </c>
      <c r="R13" s="16">
        <f t="shared" ref="R13:R22" si="10">SUM(J13:Q13)</f>
        <v>18536</v>
      </c>
      <c r="S13" s="16">
        <f t="shared" ref="S13:S22" si="11">SQRT(R13)</f>
        <v>136.14697940094007</v>
      </c>
      <c r="T13" s="15">
        <v>3</v>
      </c>
      <c r="U13" s="15" t="s">
        <v>59</v>
      </c>
      <c r="V13" s="15">
        <v>19</v>
      </c>
      <c r="W13" s="15">
        <v>16</v>
      </c>
      <c r="X13" s="15">
        <v>35</v>
      </c>
    </row>
    <row r="14" spans="1:24" x14ac:dyDescent="0.25">
      <c r="A14" s="15">
        <v>1437</v>
      </c>
      <c r="B14" s="15">
        <v>1399</v>
      </c>
      <c r="C14" s="15">
        <v>761</v>
      </c>
      <c r="D14" s="15">
        <v>284</v>
      </c>
      <c r="E14" s="15">
        <v>135</v>
      </c>
      <c r="F14" s="15">
        <v>44</v>
      </c>
      <c r="G14" s="15">
        <v>18</v>
      </c>
      <c r="H14" s="15">
        <v>18</v>
      </c>
      <c r="I14" s="15">
        <v>0</v>
      </c>
      <c r="J14" s="16">
        <f t="shared" si="0"/>
        <v>5329</v>
      </c>
      <c r="K14" s="16">
        <f t="shared" si="1"/>
        <v>3600</v>
      </c>
      <c r="L14" s="16">
        <f t="shared" si="2"/>
        <v>3481</v>
      </c>
      <c r="M14" s="15">
        <f t="shared" si="3"/>
        <v>1</v>
      </c>
      <c r="N14" s="16">
        <f t="shared" si="4"/>
        <v>81</v>
      </c>
      <c r="O14" s="16">
        <f t="shared" si="5"/>
        <v>900</v>
      </c>
      <c r="P14" s="16">
        <f t="shared" si="6"/>
        <v>729</v>
      </c>
      <c r="Q14" s="16">
        <f t="shared" si="7"/>
        <v>1</v>
      </c>
      <c r="R14" s="16">
        <f t="shared" si="10"/>
        <v>14122</v>
      </c>
      <c r="S14" s="16">
        <f t="shared" si="11"/>
        <v>118.83602147497197</v>
      </c>
      <c r="T14" s="15">
        <v>2</v>
      </c>
      <c r="U14" s="15" t="s">
        <v>59</v>
      </c>
      <c r="V14" s="15">
        <v>19</v>
      </c>
      <c r="W14" s="15">
        <v>16</v>
      </c>
      <c r="X14" s="15">
        <v>35</v>
      </c>
    </row>
    <row r="15" spans="1:24" x14ac:dyDescent="0.25">
      <c r="A15" s="15">
        <v>1953</v>
      </c>
      <c r="B15" s="15">
        <v>1309</v>
      </c>
      <c r="C15" s="15">
        <v>585</v>
      </c>
      <c r="D15" s="15">
        <v>139</v>
      </c>
      <c r="E15" s="15">
        <v>41</v>
      </c>
      <c r="F15" s="15">
        <v>53</v>
      </c>
      <c r="G15" s="15">
        <v>9</v>
      </c>
      <c r="H15" s="15">
        <v>7</v>
      </c>
      <c r="I15" s="15">
        <v>0</v>
      </c>
      <c r="J15" s="16">
        <f t="shared" si="0"/>
        <v>196249</v>
      </c>
      <c r="K15" s="16">
        <f t="shared" si="1"/>
        <v>900</v>
      </c>
      <c r="L15" s="16">
        <f t="shared" si="2"/>
        <v>13689</v>
      </c>
      <c r="M15" s="15">
        <f t="shared" si="3"/>
        <v>20736</v>
      </c>
      <c r="N15" s="16">
        <f t="shared" si="4"/>
        <v>7225</v>
      </c>
      <c r="O15" s="16">
        <f t="shared" si="5"/>
        <v>441</v>
      </c>
      <c r="P15" s="16">
        <f t="shared" si="6"/>
        <v>1296</v>
      </c>
      <c r="Q15" s="16">
        <f t="shared" si="7"/>
        <v>100</v>
      </c>
      <c r="R15" s="16">
        <f t="shared" si="10"/>
        <v>240636</v>
      </c>
      <c r="S15" s="16">
        <f t="shared" si="11"/>
        <v>490.54663386878929</v>
      </c>
      <c r="T15" s="15">
        <v>32</v>
      </c>
      <c r="U15" s="15" t="s">
        <v>59</v>
      </c>
      <c r="V15" s="15">
        <v>19</v>
      </c>
      <c r="W15" s="15">
        <v>16</v>
      </c>
      <c r="X15" s="15">
        <v>35</v>
      </c>
    </row>
    <row r="16" spans="1:24" x14ac:dyDescent="0.25">
      <c r="A16" s="15">
        <v>1137</v>
      </c>
      <c r="B16" s="15">
        <v>1304</v>
      </c>
      <c r="C16" s="15">
        <v>931</v>
      </c>
      <c r="D16" s="15">
        <v>430</v>
      </c>
      <c r="E16" s="15">
        <v>132</v>
      </c>
      <c r="F16" s="15">
        <v>89</v>
      </c>
      <c r="G16" s="15">
        <v>57</v>
      </c>
      <c r="H16" s="15">
        <v>16</v>
      </c>
      <c r="I16" s="15">
        <v>0</v>
      </c>
      <c r="J16" s="16">
        <f t="shared" si="0"/>
        <v>139129</v>
      </c>
      <c r="K16" s="16">
        <f t="shared" si="1"/>
        <v>1225</v>
      </c>
      <c r="L16" s="16">
        <f t="shared" si="2"/>
        <v>52441</v>
      </c>
      <c r="M16" s="15">
        <f t="shared" si="3"/>
        <v>21609</v>
      </c>
      <c r="N16" s="16">
        <f t="shared" si="4"/>
        <v>36</v>
      </c>
      <c r="O16" s="16">
        <f t="shared" si="5"/>
        <v>225</v>
      </c>
      <c r="P16" s="16">
        <f t="shared" si="6"/>
        <v>144</v>
      </c>
      <c r="Q16" s="16">
        <f t="shared" si="7"/>
        <v>1</v>
      </c>
      <c r="R16" s="16">
        <f t="shared" si="10"/>
        <v>214810</v>
      </c>
      <c r="S16" s="16">
        <f t="shared" si="11"/>
        <v>463.47599722099955</v>
      </c>
      <c r="T16" s="15">
        <v>30</v>
      </c>
      <c r="U16" s="15" t="s">
        <v>59</v>
      </c>
      <c r="V16" s="15">
        <v>19</v>
      </c>
      <c r="W16" s="15">
        <v>16</v>
      </c>
      <c r="X16" s="15">
        <v>35</v>
      </c>
    </row>
    <row r="17" spans="1:24" x14ac:dyDescent="0.25">
      <c r="A17" s="15">
        <v>1657</v>
      </c>
      <c r="B17" s="15">
        <v>1507</v>
      </c>
      <c r="C17" s="15">
        <v>597</v>
      </c>
      <c r="D17" s="15">
        <v>153</v>
      </c>
      <c r="E17" s="15">
        <v>76</v>
      </c>
      <c r="F17" s="15">
        <v>26</v>
      </c>
      <c r="G17" s="15">
        <v>39</v>
      </c>
      <c r="H17" s="15">
        <v>41</v>
      </c>
      <c r="I17" s="15">
        <v>0</v>
      </c>
      <c r="J17" s="16">
        <f t="shared" si="0"/>
        <v>21609</v>
      </c>
      <c r="K17" s="16">
        <f t="shared" si="1"/>
        <v>28224</v>
      </c>
      <c r="L17" s="16">
        <f t="shared" si="2"/>
        <v>11025</v>
      </c>
      <c r="M17" s="15">
        <f t="shared" si="3"/>
        <v>16900</v>
      </c>
      <c r="N17" s="16">
        <f t="shared" si="4"/>
        <v>2500</v>
      </c>
      <c r="O17" s="16">
        <f t="shared" si="5"/>
        <v>2304</v>
      </c>
      <c r="P17" s="16">
        <f t="shared" si="6"/>
        <v>36</v>
      </c>
      <c r="Q17" s="16">
        <f t="shared" si="7"/>
        <v>576</v>
      </c>
      <c r="R17" s="16">
        <f t="shared" si="10"/>
        <v>83174</v>
      </c>
      <c r="S17" s="16">
        <f t="shared" si="11"/>
        <v>288.39902912457939</v>
      </c>
      <c r="T17" s="15">
        <v>16</v>
      </c>
      <c r="U17" s="15" t="s">
        <v>59</v>
      </c>
      <c r="V17" s="15">
        <v>19</v>
      </c>
      <c r="W17" s="15">
        <v>16</v>
      </c>
      <c r="X17" s="15">
        <v>35</v>
      </c>
    </row>
    <row r="18" spans="1:24" x14ac:dyDescent="0.25">
      <c r="A18" s="15">
        <v>1440</v>
      </c>
      <c r="B18" s="15">
        <v>1228</v>
      </c>
      <c r="C18" s="15">
        <v>883</v>
      </c>
      <c r="D18" s="15">
        <v>314</v>
      </c>
      <c r="E18" s="15">
        <v>125</v>
      </c>
      <c r="F18" s="15">
        <v>70</v>
      </c>
      <c r="G18" s="15">
        <v>21</v>
      </c>
      <c r="H18" s="15">
        <v>15</v>
      </c>
      <c r="I18" s="15">
        <v>0</v>
      </c>
      <c r="J18" s="16">
        <f t="shared" si="0"/>
        <v>4900</v>
      </c>
      <c r="K18" s="16">
        <f t="shared" si="1"/>
        <v>12321</v>
      </c>
      <c r="L18" s="16">
        <f t="shared" si="2"/>
        <v>32761</v>
      </c>
      <c r="M18" s="15">
        <f t="shared" si="3"/>
        <v>961</v>
      </c>
      <c r="N18" s="16">
        <f t="shared" si="4"/>
        <v>1</v>
      </c>
      <c r="O18" s="16">
        <f t="shared" si="5"/>
        <v>16</v>
      </c>
      <c r="P18" s="16">
        <f t="shared" si="6"/>
        <v>576</v>
      </c>
      <c r="Q18" s="16">
        <f t="shared" si="7"/>
        <v>4</v>
      </c>
      <c r="R18" s="16">
        <f t="shared" si="10"/>
        <v>51540</v>
      </c>
      <c r="S18" s="16">
        <f t="shared" si="11"/>
        <v>227.02422778197044</v>
      </c>
      <c r="T18" s="15">
        <v>11</v>
      </c>
      <c r="U18" s="15" t="s">
        <v>59</v>
      </c>
      <c r="V18" s="15">
        <v>19</v>
      </c>
      <c r="W18" s="15">
        <v>16</v>
      </c>
      <c r="X18" s="15">
        <v>35</v>
      </c>
    </row>
    <row r="19" spans="1:24" x14ac:dyDescent="0.25">
      <c r="A19" s="15">
        <v>1450</v>
      </c>
      <c r="B19" s="15">
        <v>1110</v>
      </c>
      <c r="C19" s="15">
        <v>890</v>
      </c>
      <c r="D19" s="15">
        <v>415</v>
      </c>
      <c r="E19" s="15">
        <v>140</v>
      </c>
      <c r="F19" s="15">
        <v>60</v>
      </c>
      <c r="G19" s="15">
        <v>16</v>
      </c>
      <c r="H19" s="15">
        <v>15</v>
      </c>
      <c r="I19" s="15">
        <v>0</v>
      </c>
      <c r="J19" s="16">
        <f t="shared" si="0"/>
        <v>3600</v>
      </c>
      <c r="K19" s="16">
        <f t="shared" si="1"/>
        <v>52441</v>
      </c>
      <c r="L19" s="16">
        <f t="shared" si="2"/>
        <v>35344</v>
      </c>
      <c r="M19" s="15">
        <f t="shared" si="3"/>
        <v>17424</v>
      </c>
      <c r="N19" s="16">
        <f t="shared" si="4"/>
        <v>196</v>
      </c>
      <c r="O19" s="16">
        <f t="shared" si="5"/>
        <v>196</v>
      </c>
      <c r="P19" s="16">
        <f t="shared" si="6"/>
        <v>841</v>
      </c>
      <c r="Q19" s="16">
        <f t="shared" si="7"/>
        <v>4</v>
      </c>
      <c r="R19" s="16">
        <f t="shared" si="10"/>
        <v>110046</v>
      </c>
      <c r="S19" s="16">
        <f t="shared" si="11"/>
        <v>331.73181939633105</v>
      </c>
      <c r="T19" s="15">
        <v>24</v>
      </c>
      <c r="U19" s="15" t="s">
        <v>59</v>
      </c>
      <c r="V19" s="15">
        <v>19</v>
      </c>
      <c r="W19" s="15">
        <v>16</v>
      </c>
      <c r="X19" s="15">
        <v>35</v>
      </c>
    </row>
    <row r="20" spans="1:24" x14ac:dyDescent="0.25">
      <c r="A20" s="15">
        <v>1516</v>
      </c>
      <c r="B20" s="15">
        <v>1226</v>
      </c>
      <c r="C20" s="15">
        <v>718</v>
      </c>
      <c r="D20" s="15">
        <v>391</v>
      </c>
      <c r="E20" s="15">
        <v>154</v>
      </c>
      <c r="F20" s="15">
        <v>70</v>
      </c>
      <c r="G20" s="15">
        <v>8</v>
      </c>
      <c r="H20" s="15">
        <v>13</v>
      </c>
      <c r="I20" s="15">
        <v>0</v>
      </c>
      <c r="J20" s="16">
        <f t="shared" si="0"/>
        <v>36</v>
      </c>
      <c r="K20" s="16">
        <f t="shared" si="1"/>
        <v>12769</v>
      </c>
      <c r="L20" s="16">
        <f t="shared" si="2"/>
        <v>256</v>
      </c>
      <c r="M20" s="15">
        <f t="shared" si="3"/>
        <v>11664</v>
      </c>
      <c r="N20" s="16">
        <f t="shared" si="4"/>
        <v>784</v>
      </c>
      <c r="O20" s="16">
        <f t="shared" si="5"/>
        <v>16</v>
      </c>
      <c r="P20" s="16">
        <f t="shared" si="6"/>
        <v>1369</v>
      </c>
      <c r="Q20" s="16">
        <f t="shared" si="7"/>
        <v>16</v>
      </c>
      <c r="R20" s="16">
        <f t="shared" si="10"/>
        <v>26910</v>
      </c>
      <c r="S20" s="16">
        <f t="shared" si="11"/>
        <v>164.04267737390779</v>
      </c>
      <c r="T20" s="15">
        <v>8</v>
      </c>
      <c r="U20" s="15" t="s">
        <v>59</v>
      </c>
      <c r="V20" s="15">
        <v>19</v>
      </c>
      <c r="W20" s="15">
        <v>16</v>
      </c>
      <c r="X20" s="15">
        <v>35</v>
      </c>
    </row>
    <row r="21" spans="1:24" x14ac:dyDescent="0.25">
      <c r="A21" s="15">
        <v>1772</v>
      </c>
      <c r="B21" s="15">
        <v>1296</v>
      </c>
      <c r="C21" s="15">
        <v>570</v>
      </c>
      <c r="D21" s="15">
        <v>214</v>
      </c>
      <c r="E21" s="15">
        <v>90</v>
      </c>
      <c r="F21" s="15">
        <v>79</v>
      </c>
      <c r="G21" s="15">
        <v>65</v>
      </c>
      <c r="H21" s="15">
        <v>10</v>
      </c>
      <c r="I21" s="15">
        <v>0</v>
      </c>
      <c r="J21" s="16">
        <f t="shared" si="0"/>
        <v>68644</v>
      </c>
      <c r="K21" s="16">
        <f t="shared" si="1"/>
        <v>1849</v>
      </c>
      <c r="L21" s="16">
        <f t="shared" si="2"/>
        <v>17424</v>
      </c>
      <c r="M21" s="15">
        <f t="shared" si="3"/>
        <v>4761</v>
      </c>
      <c r="N21" s="16">
        <f t="shared" si="4"/>
        <v>1296</v>
      </c>
      <c r="O21" s="16">
        <f t="shared" si="5"/>
        <v>25</v>
      </c>
      <c r="P21" s="16">
        <f t="shared" si="6"/>
        <v>400</v>
      </c>
      <c r="Q21" s="16">
        <f t="shared" si="7"/>
        <v>49</v>
      </c>
      <c r="R21" s="16">
        <f t="shared" si="10"/>
        <v>94448</v>
      </c>
      <c r="S21" s="16">
        <f t="shared" si="11"/>
        <v>307.32393333419378</v>
      </c>
      <c r="T21" s="15">
        <v>18</v>
      </c>
      <c r="U21" s="15" t="s">
        <v>59</v>
      </c>
      <c r="V21" s="15">
        <v>19</v>
      </c>
      <c r="W21" s="15">
        <v>16</v>
      </c>
      <c r="X21" s="15">
        <v>35</v>
      </c>
    </row>
    <row r="22" spans="1:24" x14ac:dyDescent="0.25">
      <c r="A22" s="15">
        <v>1734</v>
      </c>
      <c r="B22" s="15">
        <v>1318</v>
      </c>
      <c r="C22" s="15">
        <v>689</v>
      </c>
      <c r="D22" s="15">
        <v>248</v>
      </c>
      <c r="E22" s="15">
        <v>47</v>
      </c>
      <c r="F22" s="15">
        <v>36</v>
      </c>
      <c r="G22" s="15">
        <v>10</v>
      </c>
      <c r="H22" s="15">
        <v>14</v>
      </c>
      <c r="I22" s="15">
        <v>0</v>
      </c>
      <c r="J22" s="16">
        <f t="shared" si="0"/>
        <v>50176</v>
      </c>
      <c r="K22" s="16">
        <f t="shared" si="1"/>
        <v>441</v>
      </c>
      <c r="L22" s="16">
        <f t="shared" si="2"/>
        <v>169</v>
      </c>
      <c r="M22" s="15">
        <f t="shared" si="3"/>
        <v>1225</v>
      </c>
      <c r="N22" s="16">
        <f t="shared" si="4"/>
        <v>6241</v>
      </c>
      <c r="O22" s="16">
        <f t="shared" si="5"/>
        <v>1444</v>
      </c>
      <c r="P22" s="16">
        <f t="shared" si="6"/>
        <v>1225</v>
      </c>
      <c r="Q22" s="16">
        <f t="shared" si="7"/>
        <v>9</v>
      </c>
      <c r="R22" s="16">
        <f t="shared" si="10"/>
        <v>60930</v>
      </c>
      <c r="S22" s="16">
        <f t="shared" si="11"/>
        <v>246.84002916869053</v>
      </c>
      <c r="T22" s="15">
        <v>12</v>
      </c>
      <c r="U22" s="15" t="s">
        <v>59</v>
      </c>
      <c r="V22" s="15">
        <v>19</v>
      </c>
      <c r="W22" s="15">
        <v>16</v>
      </c>
      <c r="X22" s="15">
        <v>35</v>
      </c>
    </row>
    <row r="23" spans="1:24" x14ac:dyDescent="0.25">
      <c r="A23" s="9">
        <v>1294</v>
      </c>
      <c r="B23" s="9">
        <v>1340</v>
      </c>
      <c r="C23" s="9">
        <v>782</v>
      </c>
      <c r="D23" s="9">
        <v>416</v>
      </c>
      <c r="E23" s="9">
        <v>157</v>
      </c>
      <c r="F23" s="9">
        <v>62</v>
      </c>
      <c r="G23" s="9">
        <v>32</v>
      </c>
      <c r="H23" s="9">
        <v>13</v>
      </c>
      <c r="I23" s="9">
        <v>1</v>
      </c>
      <c r="J23" s="11">
        <f t="shared" si="0"/>
        <v>46656</v>
      </c>
      <c r="K23" s="11">
        <f t="shared" si="1"/>
        <v>1</v>
      </c>
      <c r="L23" s="11">
        <f t="shared" si="2"/>
        <v>6400</v>
      </c>
      <c r="M23" s="9">
        <f t="shared" si="3"/>
        <v>17689</v>
      </c>
      <c r="N23" s="11">
        <f t="shared" si="4"/>
        <v>961</v>
      </c>
      <c r="O23" s="11">
        <f t="shared" si="5"/>
        <v>144</v>
      </c>
      <c r="P23" s="11">
        <f t="shared" si="6"/>
        <v>169</v>
      </c>
      <c r="Q23" s="11">
        <f t="shared" si="7"/>
        <v>16</v>
      </c>
      <c r="R23" s="11">
        <f t="shared" ref="R23:R41" si="12">SUM(J23:Q23)</f>
        <v>72036</v>
      </c>
      <c r="S23" s="11">
        <f t="shared" ref="S23:S41" si="13">SQRT(R23)</f>
        <v>268.39523095614049</v>
      </c>
      <c r="T23" s="9">
        <v>14</v>
      </c>
      <c r="U23" s="9" t="s">
        <v>59</v>
      </c>
      <c r="V23" s="9">
        <v>19</v>
      </c>
      <c r="W23" s="9">
        <v>16</v>
      </c>
      <c r="X23" s="9">
        <v>35</v>
      </c>
    </row>
    <row r="24" spans="1:24" x14ac:dyDescent="0.25">
      <c r="A24" s="9">
        <v>1083</v>
      </c>
      <c r="B24" s="9">
        <v>1130</v>
      </c>
      <c r="C24" s="9">
        <v>925</v>
      </c>
      <c r="D24" s="9">
        <v>447</v>
      </c>
      <c r="E24" s="9">
        <v>253</v>
      </c>
      <c r="F24" s="9">
        <v>129</v>
      </c>
      <c r="G24" s="9">
        <v>99</v>
      </c>
      <c r="H24" s="9">
        <v>30</v>
      </c>
      <c r="I24" s="9">
        <v>1</v>
      </c>
      <c r="J24" s="11">
        <f t="shared" si="0"/>
        <v>182329</v>
      </c>
      <c r="K24" s="11">
        <f t="shared" si="1"/>
        <v>43681</v>
      </c>
      <c r="L24" s="11">
        <f t="shared" si="2"/>
        <v>49729</v>
      </c>
      <c r="M24" s="9">
        <f t="shared" si="3"/>
        <v>26896</v>
      </c>
      <c r="N24" s="11">
        <f t="shared" si="4"/>
        <v>16129</v>
      </c>
      <c r="O24" s="11">
        <f t="shared" si="5"/>
        <v>3025</v>
      </c>
      <c r="P24" s="11">
        <f t="shared" si="6"/>
        <v>2916</v>
      </c>
      <c r="Q24" s="11">
        <f t="shared" si="7"/>
        <v>169</v>
      </c>
      <c r="R24" s="11">
        <f t="shared" si="12"/>
        <v>324874</v>
      </c>
      <c r="S24" s="11">
        <f t="shared" si="13"/>
        <v>569.97719252615718</v>
      </c>
      <c r="T24" s="9">
        <v>35</v>
      </c>
      <c r="U24" s="9" t="s">
        <v>59</v>
      </c>
      <c r="V24" s="9">
        <v>19</v>
      </c>
      <c r="W24" s="9">
        <v>16</v>
      </c>
      <c r="X24" s="9">
        <v>35</v>
      </c>
    </row>
    <row r="25" spans="1:24" x14ac:dyDescent="0.25">
      <c r="A25" s="2">
        <v>2239</v>
      </c>
      <c r="B25" s="2">
        <v>1079</v>
      </c>
      <c r="C25" s="2">
        <v>473</v>
      </c>
      <c r="D25" s="2">
        <v>171</v>
      </c>
      <c r="E25" s="2">
        <v>74</v>
      </c>
      <c r="F25" s="2">
        <v>43</v>
      </c>
      <c r="G25" s="2">
        <v>14</v>
      </c>
      <c r="H25" s="2">
        <v>3</v>
      </c>
      <c r="I25" s="2">
        <v>1</v>
      </c>
      <c r="J25" s="7">
        <f t="shared" si="0"/>
        <v>531441</v>
      </c>
      <c r="K25" s="7">
        <f t="shared" si="1"/>
        <v>67600</v>
      </c>
      <c r="L25" s="7">
        <f t="shared" si="2"/>
        <v>52441</v>
      </c>
      <c r="M25" s="2">
        <f t="shared" si="3"/>
        <v>12544</v>
      </c>
      <c r="N25" s="7">
        <f t="shared" si="4"/>
        <v>2704</v>
      </c>
      <c r="O25" s="7">
        <f t="shared" si="5"/>
        <v>961</v>
      </c>
      <c r="P25" s="7">
        <f t="shared" si="6"/>
        <v>961</v>
      </c>
      <c r="Q25" s="7">
        <f t="shared" si="7"/>
        <v>196</v>
      </c>
      <c r="R25" s="7">
        <f t="shared" si="12"/>
        <v>668848</v>
      </c>
      <c r="S25" s="7">
        <f t="shared" si="13"/>
        <v>817.83127844317619</v>
      </c>
      <c r="T25" s="2">
        <v>38</v>
      </c>
      <c r="U25" s="2" t="s">
        <v>60</v>
      </c>
      <c r="V25" s="2">
        <v>19</v>
      </c>
      <c r="W25" s="2">
        <v>16</v>
      </c>
      <c r="X25" s="2">
        <v>35</v>
      </c>
    </row>
    <row r="26" spans="1:24" x14ac:dyDescent="0.25">
      <c r="A26" s="9">
        <v>1509</v>
      </c>
      <c r="B26" s="9">
        <v>1176</v>
      </c>
      <c r="C26" s="9">
        <v>774</v>
      </c>
      <c r="D26" s="9">
        <v>400</v>
      </c>
      <c r="E26" s="9">
        <v>150</v>
      </c>
      <c r="F26" s="9">
        <v>67</v>
      </c>
      <c r="G26" s="9">
        <v>16</v>
      </c>
      <c r="H26" s="9">
        <v>4</v>
      </c>
      <c r="I26" s="9">
        <v>1</v>
      </c>
      <c r="J26" s="11">
        <f t="shared" si="0"/>
        <v>1</v>
      </c>
      <c r="K26" s="11">
        <f t="shared" si="1"/>
        <v>26569</v>
      </c>
      <c r="L26" s="11">
        <f t="shared" si="2"/>
        <v>5184</v>
      </c>
      <c r="M26" s="9">
        <f t="shared" si="3"/>
        <v>13689</v>
      </c>
      <c r="N26" s="11">
        <f t="shared" si="4"/>
        <v>576</v>
      </c>
      <c r="O26" s="11">
        <f t="shared" si="5"/>
        <v>49</v>
      </c>
      <c r="P26" s="11">
        <f t="shared" si="6"/>
        <v>841</v>
      </c>
      <c r="Q26" s="11">
        <f t="shared" si="7"/>
        <v>169</v>
      </c>
      <c r="R26" s="11">
        <f t="shared" si="12"/>
        <v>47078</v>
      </c>
      <c r="S26" s="11">
        <f t="shared" si="13"/>
        <v>216.97465289752165</v>
      </c>
      <c r="T26" s="9">
        <v>10</v>
      </c>
      <c r="U26" s="9" t="s">
        <v>59</v>
      </c>
      <c r="V26" s="9">
        <v>19</v>
      </c>
      <c r="W26" s="9">
        <v>16</v>
      </c>
      <c r="X26" s="9">
        <v>35</v>
      </c>
    </row>
    <row r="27" spans="1:24" x14ac:dyDescent="0.25">
      <c r="A27" s="9">
        <v>1490</v>
      </c>
      <c r="B27" s="9">
        <v>1206</v>
      </c>
      <c r="C27" s="9">
        <v>649</v>
      </c>
      <c r="D27" s="9">
        <v>385</v>
      </c>
      <c r="E27" s="9">
        <v>168</v>
      </c>
      <c r="F27" s="9">
        <v>113</v>
      </c>
      <c r="G27" s="9">
        <v>63</v>
      </c>
      <c r="H27" s="9">
        <v>22</v>
      </c>
      <c r="I27" s="9">
        <v>1</v>
      </c>
      <c r="J27" s="11">
        <f t="shared" si="0"/>
        <v>400</v>
      </c>
      <c r="K27" s="11">
        <f t="shared" si="1"/>
        <v>17689</v>
      </c>
      <c r="L27" s="11">
        <f t="shared" si="2"/>
        <v>2809</v>
      </c>
      <c r="M27" s="9">
        <f t="shared" si="3"/>
        <v>10404</v>
      </c>
      <c r="N27" s="11">
        <f t="shared" si="4"/>
        <v>1764</v>
      </c>
      <c r="O27" s="11">
        <f t="shared" si="5"/>
        <v>1521</v>
      </c>
      <c r="P27" s="11">
        <f t="shared" si="6"/>
        <v>324</v>
      </c>
      <c r="Q27" s="11">
        <f t="shared" si="7"/>
        <v>25</v>
      </c>
      <c r="R27" s="11">
        <f t="shared" si="12"/>
        <v>34936</v>
      </c>
      <c r="S27" s="11">
        <f t="shared" si="13"/>
        <v>186.91174387929721</v>
      </c>
      <c r="T27" s="9">
        <v>9</v>
      </c>
      <c r="U27" s="9" t="s">
        <v>59</v>
      </c>
      <c r="V27" s="9">
        <v>19</v>
      </c>
      <c r="W27" s="9">
        <v>16</v>
      </c>
      <c r="X27" s="9">
        <v>35</v>
      </c>
    </row>
    <row r="28" spans="1:24" x14ac:dyDescent="0.25">
      <c r="A28" s="9">
        <v>1387</v>
      </c>
      <c r="B28" s="9">
        <v>1112</v>
      </c>
      <c r="C28" s="9">
        <v>807</v>
      </c>
      <c r="D28" s="9">
        <v>403</v>
      </c>
      <c r="E28" s="9">
        <v>221</v>
      </c>
      <c r="F28" s="9">
        <v>125</v>
      </c>
      <c r="G28" s="9">
        <v>30</v>
      </c>
      <c r="H28" s="9">
        <v>11</v>
      </c>
      <c r="I28" s="9">
        <v>1</v>
      </c>
      <c r="J28" s="11">
        <f t="shared" si="0"/>
        <v>15129</v>
      </c>
      <c r="K28" s="11">
        <f t="shared" si="1"/>
        <v>51529</v>
      </c>
      <c r="L28" s="11">
        <f t="shared" si="2"/>
        <v>11025</v>
      </c>
      <c r="M28" s="9">
        <f t="shared" si="3"/>
        <v>14400</v>
      </c>
      <c r="N28" s="11">
        <f t="shared" si="4"/>
        <v>9025</v>
      </c>
      <c r="O28" s="11">
        <f t="shared" si="5"/>
        <v>2601</v>
      </c>
      <c r="P28" s="11">
        <f t="shared" si="6"/>
        <v>225</v>
      </c>
      <c r="Q28" s="11">
        <f t="shared" si="7"/>
        <v>36</v>
      </c>
      <c r="R28" s="11">
        <f t="shared" si="12"/>
        <v>103970</v>
      </c>
      <c r="S28" s="11">
        <f t="shared" si="13"/>
        <v>322.4437935516824</v>
      </c>
      <c r="T28" s="9">
        <v>22</v>
      </c>
      <c r="U28" s="9" t="s">
        <v>59</v>
      </c>
      <c r="V28" s="9">
        <v>19</v>
      </c>
      <c r="W28" s="9">
        <v>16</v>
      </c>
      <c r="X28" s="9">
        <v>35</v>
      </c>
    </row>
    <row r="29" spans="1:24" x14ac:dyDescent="0.25">
      <c r="A29" s="9">
        <v>1747</v>
      </c>
      <c r="B29" s="9">
        <v>1201</v>
      </c>
      <c r="C29" s="9">
        <v>564</v>
      </c>
      <c r="D29" s="9">
        <v>353</v>
      </c>
      <c r="E29" s="9">
        <v>122</v>
      </c>
      <c r="F29" s="9">
        <v>61</v>
      </c>
      <c r="G29" s="9">
        <v>31</v>
      </c>
      <c r="H29" s="9">
        <v>17</v>
      </c>
      <c r="I29" s="9">
        <v>1</v>
      </c>
      <c r="J29" s="11">
        <f t="shared" si="0"/>
        <v>56169</v>
      </c>
      <c r="K29" s="11">
        <f t="shared" si="1"/>
        <v>19044</v>
      </c>
      <c r="L29" s="11">
        <f t="shared" si="2"/>
        <v>19044</v>
      </c>
      <c r="M29" s="9">
        <f t="shared" si="3"/>
        <v>4900</v>
      </c>
      <c r="N29" s="11">
        <f t="shared" si="4"/>
        <v>16</v>
      </c>
      <c r="O29" s="11">
        <f t="shared" si="5"/>
        <v>169</v>
      </c>
      <c r="P29" s="11">
        <f t="shared" si="6"/>
        <v>196</v>
      </c>
      <c r="Q29" s="11">
        <f t="shared" si="7"/>
        <v>0</v>
      </c>
      <c r="R29" s="11">
        <f t="shared" si="12"/>
        <v>99538</v>
      </c>
      <c r="S29" s="11">
        <f t="shared" si="13"/>
        <v>315.49643421122846</v>
      </c>
      <c r="T29" s="9">
        <v>21</v>
      </c>
      <c r="U29" s="9" t="s">
        <v>59</v>
      </c>
      <c r="V29" s="9">
        <v>19</v>
      </c>
      <c r="W29" s="9">
        <v>16</v>
      </c>
      <c r="X29" s="9">
        <v>35</v>
      </c>
    </row>
    <row r="30" spans="1:24" x14ac:dyDescent="0.25">
      <c r="A30" s="9">
        <v>1679</v>
      </c>
      <c r="B30" s="9">
        <v>1090</v>
      </c>
      <c r="C30" s="9">
        <v>655</v>
      </c>
      <c r="D30" s="9">
        <v>299</v>
      </c>
      <c r="E30" s="9">
        <v>239</v>
      </c>
      <c r="F30" s="9">
        <v>67</v>
      </c>
      <c r="G30" s="9">
        <v>33</v>
      </c>
      <c r="H30" s="9">
        <v>34</v>
      </c>
      <c r="I30" s="9">
        <v>1</v>
      </c>
      <c r="J30" s="11">
        <f t="shared" si="0"/>
        <v>28561</v>
      </c>
      <c r="K30" s="11">
        <f t="shared" si="1"/>
        <v>62001</v>
      </c>
      <c r="L30" s="11">
        <f t="shared" si="2"/>
        <v>2209</v>
      </c>
      <c r="M30" s="9">
        <f t="shared" si="3"/>
        <v>256</v>
      </c>
      <c r="N30" s="11">
        <f t="shared" si="4"/>
        <v>12769</v>
      </c>
      <c r="O30" s="11">
        <f t="shared" si="5"/>
        <v>49</v>
      </c>
      <c r="P30" s="11">
        <f t="shared" si="6"/>
        <v>144</v>
      </c>
      <c r="Q30" s="11">
        <f t="shared" si="7"/>
        <v>289</v>
      </c>
      <c r="R30" s="11">
        <f t="shared" si="12"/>
        <v>106278</v>
      </c>
      <c r="S30" s="11">
        <f t="shared" si="13"/>
        <v>326.00306747023103</v>
      </c>
      <c r="T30" s="9">
        <v>23</v>
      </c>
      <c r="U30" s="9" t="s">
        <v>59</v>
      </c>
      <c r="V30" s="9">
        <v>19</v>
      </c>
      <c r="W30" s="9">
        <v>16</v>
      </c>
      <c r="X30" s="9">
        <v>35</v>
      </c>
    </row>
    <row r="31" spans="1:24" x14ac:dyDescent="0.25">
      <c r="A31" s="9">
        <v>1553</v>
      </c>
      <c r="B31" s="9">
        <v>1291</v>
      </c>
      <c r="C31" s="9">
        <v>608</v>
      </c>
      <c r="D31" s="9">
        <v>327</v>
      </c>
      <c r="E31" s="9">
        <v>193</v>
      </c>
      <c r="F31" s="9">
        <v>73</v>
      </c>
      <c r="G31" s="9">
        <v>23</v>
      </c>
      <c r="H31" s="9">
        <v>28</v>
      </c>
      <c r="I31" s="9">
        <v>1</v>
      </c>
      <c r="J31" s="11">
        <f t="shared" si="0"/>
        <v>1849</v>
      </c>
      <c r="K31" s="11">
        <f t="shared" si="1"/>
        <v>2304</v>
      </c>
      <c r="L31" s="11">
        <f t="shared" si="2"/>
        <v>8836</v>
      </c>
      <c r="M31" s="9">
        <f t="shared" si="3"/>
        <v>1936</v>
      </c>
      <c r="N31" s="11">
        <f t="shared" si="4"/>
        <v>4489</v>
      </c>
      <c r="O31" s="11">
        <f t="shared" si="5"/>
        <v>1</v>
      </c>
      <c r="P31" s="11">
        <f t="shared" si="6"/>
        <v>484</v>
      </c>
      <c r="Q31" s="11">
        <f t="shared" si="7"/>
        <v>121</v>
      </c>
      <c r="R31" s="11">
        <f>SUM(J31:Q31)</f>
        <v>20020</v>
      </c>
      <c r="S31" s="11">
        <f>SQRT(R31)</f>
        <v>141.49204924659193</v>
      </c>
      <c r="T31" s="9">
        <v>4</v>
      </c>
      <c r="U31" s="9" t="s">
        <v>59</v>
      </c>
      <c r="V31" s="9">
        <v>19</v>
      </c>
      <c r="W31" s="9">
        <v>16</v>
      </c>
      <c r="X31" s="9">
        <v>35</v>
      </c>
    </row>
    <row r="32" spans="1:24" x14ac:dyDescent="0.25">
      <c r="A32" s="9">
        <v>1748</v>
      </c>
      <c r="B32" s="9">
        <v>1168</v>
      </c>
      <c r="C32" s="9">
        <v>608</v>
      </c>
      <c r="D32" s="9">
        <v>266</v>
      </c>
      <c r="E32" s="9">
        <v>117</v>
      </c>
      <c r="F32" s="9">
        <v>109</v>
      </c>
      <c r="G32" s="9">
        <v>68</v>
      </c>
      <c r="H32" s="9">
        <v>12</v>
      </c>
      <c r="I32" s="9">
        <v>1</v>
      </c>
      <c r="J32" s="11">
        <f t="shared" si="0"/>
        <v>56644</v>
      </c>
      <c r="K32" s="11">
        <f t="shared" si="1"/>
        <v>29241</v>
      </c>
      <c r="L32" s="11">
        <f t="shared" si="2"/>
        <v>8836</v>
      </c>
      <c r="M32" s="9">
        <f t="shared" si="3"/>
        <v>289</v>
      </c>
      <c r="N32" s="11">
        <f t="shared" si="4"/>
        <v>81</v>
      </c>
      <c r="O32" s="11">
        <f t="shared" si="5"/>
        <v>1225</v>
      </c>
      <c r="P32" s="11">
        <f t="shared" si="6"/>
        <v>529</v>
      </c>
      <c r="Q32" s="11">
        <f t="shared" si="7"/>
        <v>25</v>
      </c>
      <c r="R32" s="11">
        <f>SUM(J32:Q32)</f>
        <v>96870</v>
      </c>
      <c r="S32" s="11">
        <f>SQRT(R32)</f>
        <v>311.2394576527854</v>
      </c>
      <c r="T32" s="9">
        <v>20</v>
      </c>
      <c r="U32" s="9" t="s">
        <v>59</v>
      </c>
      <c r="V32" s="9">
        <v>19</v>
      </c>
      <c r="W32" s="9">
        <v>16</v>
      </c>
      <c r="X32" s="9">
        <v>35</v>
      </c>
    </row>
    <row r="33" spans="1:24" x14ac:dyDescent="0.25">
      <c r="A33" s="9">
        <v>1496</v>
      </c>
      <c r="B33" s="9">
        <v>1235</v>
      </c>
      <c r="C33" s="9">
        <v>747</v>
      </c>
      <c r="D33" s="9">
        <v>379</v>
      </c>
      <c r="E33" s="9">
        <v>140</v>
      </c>
      <c r="F33" s="9">
        <v>54</v>
      </c>
      <c r="G33" s="9">
        <v>18</v>
      </c>
      <c r="H33" s="9">
        <v>27</v>
      </c>
      <c r="I33" s="9">
        <v>1</v>
      </c>
      <c r="J33" s="11">
        <f t="shared" si="0"/>
        <v>196</v>
      </c>
      <c r="K33" s="11">
        <f t="shared" si="1"/>
        <v>10816</v>
      </c>
      <c r="L33" s="11">
        <f t="shared" si="2"/>
        <v>2025</v>
      </c>
      <c r="M33" s="9">
        <f t="shared" si="3"/>
        <v>9216</v>
      </c>
      <c r="N33" s="11">
        <f t="shared" si="4"/>
        <v>196</v>
      </c>
      <c r="O33" s="11">
        <f t="shared" si="5"/>
        <v>400</v>
      </c>
      <c r="P33" s="11">
        <f t="shared" si="6"/>
        <v>729</v>
      </c>
      <c r="Q33" s="11">
        <f t="shared" si="7"/>
        <v>100</v>
      </c>
      <c r="R33" s="11">
        <f t="shared" si="12"/>
        <v>23678</v>
      </c>
      <c r="S33" s="11">
        <f t="shared" si="13"/>
        <v>153.87657391558989</v>
      </c>
      <c r="T33" s="9">
        <v>7</v>
      </c>
      <c r="U33" s="9" t="s">
        <v>59</v>
      </c>
      <c r="V33" s="9">
        <v>19</v>
      </c>
      <c r="W33" s="9">
        <v>16</v>
      </c>
      <c r="X33" s="9">
        <v>35</v>
      </c>
    </row>
    <row r="34" spans="1:24" x14ac:dyDescent="0.25">
      <c r="A34" s="9">
        <v>1823</v>
      </c>
      <c r="B34" s="9">
        <v>1083</v>
      </c>
      <c r="C34" s="9">
        <v>570</v>
      </c>
      <c r="D34" s="9">
        <v>364</v>
      </c>
      <c r="E34" s="9">
        <v>153</v>
      </c>
      <c r="F34" s="9">
        <v>71</v>
      </c>
      <c r="G34" s="9">
        <v>17</v>
      </c>
      <c r="H34" s="9">
        <v>15</v>
      </c>
      <c r="I34" s="9">
        <v>1</v>
      </c>
      <c r="J34" s="11">
        <f t="shared" si="0"/>
        <v>97969</v>
      </c>
      <c r="K34" s="11">
        <f t="shared" si="1"/>
        <v>65536</v>
      </c>
      <c r="L34" s="11">
        <f t="shared" si="2"/>
        <v>17424</v>
      </c>
      <c r="M34" s="9">
        <f t="shared" si="3"/>
        <v>6561</v>
      </c>
      <c r="N34" s="11">
        <f t="shared" si="4"/>
        <v>729</v>
      </c>
      <c r="O34" s="11">
        <f t="shared" si="5"/>
        <v>9</v>
      </c>
      <c r="P34" s="11">
        <f t="shared" si="6"/>
        <v>784</v>
      </c>
      <c r="Q34" s="11">
        <f t="shared" si="7"/>
        <v>4</v>
      </c>
      <c r="R34" s="11">
        <f t="shared" si="12"/>
        <v>189016</v>
      </c>
      <c r="S34" s="11">
        <f t="shared" si="13"/>
        <v>434.75970374449378</v>
      </c>
      <c r="T34" s="9">
        <v>29</v>
      </c>
      <c r="U34" s="9" t="s">
        <v>59</v>
      </c>
      <c r="V34" s="9">
        <v>19</v>
      </c>
      <c r="W34" s="9">
        <v>16</v>
      </c>
      <c r="X34" s="9">
        <v>35</v>
      </c>
    </row>
    <row r="35" spans="1:24" x14ac:dyDescent="0.25">
      <c r="A35" s="9">
        <v>1321</v>
      </c>
      <c r="B35" s="9">
        <v>1278</v>
      </c>
      <c r="C35" s="9">
        <v>840</v>
      </c>
      <c r="D35" s="9">
        <v>334</v>
      </c>
      <c r="E35" s="9">
        <v>174</v>
      </c>
      <c r="F35" s="9">
        <v>113</v>
      </c>
      <c r="G35" s="9">
        <v>26</v>
      </c>
      <c r="H35" s="9">
        <v>10</v>
      </c>
      <c r="I35" s="9">
        <v>1</v>
      </c>
      <c r="J35" s="11">
        <f t="shared" si="0"/>
        <v>35721</v>
      </c>
      <c r="K35" s="11">
        <f t="shared" si="1"/>
        <v>3721</v>
      </c>
      <c r="L35" s="11">
        <f t="shared" si="2"/>
        <v>19044</v>
      </c>
      <c r="M35" s="9">
        <f t="shared" si="3"/>
        <v>2601</v>
      </c>
      <c r="N35" s="11">
        <f t="shared" si="4"/>
        <v>2304</v>
      </c>
      <c r="O35" s="11">
        <f t="shared" si="5"/>
        <v>1521</v>
      </c>
      <c r="P35" s="11">
        <f t="shared" si="6"/>
        <v>361</v>
      </c>
      <c r="Q35" s="11">
        <f t="shared" si="7"/>
        <v>49</v>
      </c>
      <c r="R35" s="11">
        <f t="shared" si="12"/>
        <v>65322</v>
      </c>
      <c r="S35" s="11">
        <f t="shared" si="13"/>
        <v>255.58168948498638</v>
      </c>
      <c r="T35" s="9">
        <v>13</v>
      </c>
      <c r="U35" s="9" t="s">
        <v>59</v>
      </c>
      <c r="V35" s="9">
        <v>19</v>
      </c>
      <c r="W35" s="9">
        <v>16</v>
      </c>
      <c r="X35" s="9">
        <v>35</v>
      </c>
    </row>
    <row r="36" spans="1:24" x14ac:dyDescent="0.25">
      <c r="A36" s="2">
        <v>2047</v>
      </c>
      <c r="B36" s="2">
        <v>1081</v>
      </c>
      <c r="C36" s="2">
        <v>445</v>
      </c>
      <c r="D36" s="2">
        <v>242</v>
      </c>
      <c r="E36" s="2">
        <v>135</v>
      </c>
      <c r="F36" s="2">
        <v>91</v>
      </c>
      <c r="G36" s="2">
        <v>35</v>
      </c>
      <c r="H36" s="2">
        <v>20</v>
      </c>
      <c r="I36" s="2">
        <v>1</v>
      </c>
      <c r="J36" s="7">
        <f t="shared" si="0"/>
        <v>288369</v>
      </c>
      <c r="K36" s="7">
        <f t="shared" si="1"/>
        <v>66564</v>
      </c>
      <c r="L36" s="7">
        <f t="shared" si="2"/>
        <v>66049</v>
      </c>
      <c r="M36" s="2">
        <f t="shared" si="3"/>
        <v>1681</v>
      </c>
      <c r="N36" s="7">
        <f t="shared" si="4"/>
        <v>81</v>
      </c>
      <c r="O36" s="7">
        <f t="shared" si="5"/>
        <v>289</v>
      </c>
      <c r="P36" s="7">
        <f t="shared" si="6"/>
        <v>100</v>
      </c>
      <c r="Q36" s="7">
        <f t="shared" si="7"/>
        <v>9</v>
      </c>
      <c r="R36" s="7">
        <f t="shared" si="12"/>
        <v>423142</v>
      </c>
      <c r="S36" s="7">
        <f t="shared" si="13"/>
        <v>650.49365869314977</v>
      </c>
      <c r="T36" s="2">
        <v>37</v>
      </c>
      <c r="U36" s="2" t="s">
        <v>60</v>
      </c>
      <c r="V36" s="2">
        <v>19</v>
      </c>
      <c r="W36" s="2">
        <v>16</v>
      </c>
      <c r="X36" s="2">
        <v>35</v>
      </c>
    </row>
    <row r="37" spans="1:24" x14ac:dyDescent="0.25">
      <c r="A37" s="9">
        <v>1125</v>
      </c>
      <c r="B37" s="9">
        <v>1638</v>
      </c>
      <c r="C37" s="9">
        <v>804</v>
      </c>
      <c r="D37" s="9">
        <v>302</v>
      </c>
      <c r="E37" s="9">
        <v>109</v>
      </c>
      <c r="F37" s="9">
        <v>75</v>
      </c>
      <c r="G37" s="9">
        <v>29</v>
      </c>
      <c r="H37" s="9">
        <v>14</v>
      </c>
      <c r="I37" s="9">
        <v>1</v>
      </c>
      <c r="J37" s="11">
        <f t="shared" si="0"/>
        <v>148225</v>
      </c>
      <c r="K37" s="11">
        <f t="shared" si="1"/>
        <v>89401</v>
      </c>
      <c r="L37" s="11">
        <f t="shared" si="2"/>
        <v>10404</v>
      </c>
      <c r="M37" s="9">
        <f t="shared" si="3"/>
        <v>361</v>
      </c>
      <c r="N37" s="11">
        <f t="shared" si="4"/>
        <v>289</v>
      </c>
      <c r="O37" s="11">
        <f t="shared" si="5"/>
        <v>1</v>
      </c>
      <c r="P37" s="11">
        <f t="shared" si="6"/>
        <v>256</v>
      </c>
      <c r="Q37" s="11">
        <f t="shared" si="7"/>
        <v>9</v>
      </c>
      <c r="R37" s="11">
        <f t="shared" si="12"/>
        <v>248946</v>
      </c>
      <c r="S37" s="11">
        <f t="shared" si="13"/>
        <v>498.94488673600011</v>
      </c>
      <c r="T37" s="9">
        <v>33</v>
      </c>
      <c r="U37" s="9" t="s">
        <v>59</v>
      </c>
      <c r="V37" s="9">
        <v>19</v>
      </c>
      <c r="W37" s="9">
        <v>16</v>
      </c>
      <c r="X37" s="9">
        <v>35</v>
      </c>
    </row>
    <row r="38" spans="1:24" x14ac:dyDescent="0.25">
      <c r="A38" s="9">
        <v>1355</v>
      </c>
      <c r="B38" s="9">
        <v>1114</v>
      </c>
      <c r="C38" s="9">
        <v>713</v>
      </c>
      <c r="D38" s="9">
        <v>466</v>
      </c>
      <c r="E38" s="9">
        <v>202</v>
      </c>
      <c r="F38" s="9">
        <v>144</v>
      </c>
      <c r="G38" s="9">
        <v>55</v>
      </c>
      <c r="H38" s="9">
        <v>47</v>
      </c>
      <c r="I38" s="9">
        <v>1</v>
      </c>
      <c r="J38" s="11">
        <f t="shared" si="0"/>
        <v>24025</v>
      </c>
      <c r="K38" s="11">
        <f t="shared" si="1"/>
        <v>50625</v>
      </c>
      <c r="L38" s="11">
        <f t="shared" si="2"/>
        <v>121</v>
      </c>
      <c r="M38" s="9">
        <f t="shared" si="3"/>
        <v>33489</v>
      </c>
      <c r="N38" s="11">
        <f t="shared" si="4"/>
        <v>5776</v>
      </c>
      <c r="O38" s="11">
        <f t="shared" si="5"/>
        <v>4900</v>
      </c>
      <c r="P38" s="11">
        <f t="shared" si="6"/>
        <v>100</v>
      </c>
      <c r="Q38" s="11">
        <f t="shared" si="7"/>
        <v>900</v>
      </c>
      <c r="R38" s="11">
        <f t="shared" si="12"/>
        <v>119936</v>
      </c>
      <c r="S38" s="11">
        <f t="shared" si="13"/>
        <v>346.31777315061379</v>
      </c>
      <c r="T38" s="9">
        <v>25</v>
      </c>
      <c r="U38" s="9" t="s">
        <v>59</v>
      </c>
      <c r="V38" s="9">
        <v>19</v>
      </c>
      <c r="W38" s="9">
        <v>16</v>
      </c>
      <c r="X38" s="9">
        <v>35</v>
      </c>
    </row>
    <row r="39" spans="1:24" x14ac:dyDescent="0.25">
      <c r="A39" s="2">
        <v>2314</v>
      </c>
      <c r="B39" s="2">
        <v>935</v>
      </c>
      <c r="C39" s="2">
        <v>454</v>
      </c>
      <c r="D39" s="2">
        <v>214</v>
      </c>
      <c r="E39" s="2">
        <v>112</v>
      </c>
      <c r="F39" s="2">
        <v>29</v>
      </c>
      <c r="G39" s="2">
        <v>26</v>
      </c>
      <c r="H39" s="2">
        <v>12</v>
      </c>
      <c r="I39" s="2">
        <v>1</v>
      </c>
      <c r="J39" s="7">
        <f t="shared" si="0"/>
        <v>646416</v>
      </c>
      <c r="K39" s="7">
        <f t="shared" si="1"/>
        <v>163216</v>
      </c>
      <c r="L39" s="7">
        <f t="shared" si="2"/>
        <v>61504</v>
      </c>
      <c r="M39" s="2">
        <f t="shared" si="3"/>
        <v>4761</v>
      </c>
      <c r="N39" s="7">
        <f t="shared" si="4"/>
        <v>196</v>
      </c>
      <c r="O39" s="7">
        <f t="shared" si="5"/>
        <v>2025</v>
      </c>
      <c r="P39" s="7">
        <f t="shared" si="6"/>
        <v>361</v>
      </c>
      <c r="Q39" s="7">
        <f t="shared" si="7"/>
        <v>25</v>
      </c>
      <c r="R39" s="7">
        <f t="shared" si="12"/>
        <v>878504</v>
      </c>
      <c r="S39" s="7">
        <f t="shared" si="13"/>
        <v>937.28544211462065</v>
      </c>
      <c r="T39" s="2">
        <v>39</v>
      </c>
      <c r="U39" s="2" t="s">
        <v>60</v>
      </c>
      <c r="V39" s="2">
        <v>19</v>
      </c>
      <c r="W39" s="2">
        <v>16</v>
      </c>
      <c r="X39" s="2">
        <v>35</v>
      </c>
    </row>
    <row r="40" spans="1:24" x14ac:dyDescent="0.25">
      <c r="A40" s="2">
        <v>2038</v>
      </c>
      <c r="B40" s="2">
        <v>1082</v>
      </c>
      <c r="C40" s="2">
        <v>505</v>
      </c>
      <c r="D40" s="2">
        <v>246</v>
      </c>
      <c r="E40" s="2">
        <v>128</v>
      </c>
      <c r="F40" s="2">
        <v>44</v>
      </c>
      <c r="G40" s="2">
        <v>33</v>
      </c>
      <c r="H40" s="2">
        <v>20</v>
      </c>
      <c r="I40" s="2">
        <v>1</v>
      </c>
      <c r="J40" s="7">
        <f t="shared" si="0"/>
        <v>278784</v>
      </c>
      <c r="K40" s="7">
        <f t="shared" si="1"/>
        <v>66049</v>
      </c>
      <c r="L40" s="7">
        <f t="shared" si="2"/>
        <v>38809</v>
      </c>
      <c r="M40" s="2">
        <f t="shared" si="3"/>
        <v>1369</v>
      </c>
      <c r="N40" s="7">
        <f t="shared" si="4"/>
        <v>4</v>
      </c>
      <c r="O40" s="7">
        <f t="shared" si="5"/>
        <v>900</v>
      </c>
      <c r="P40" s="7">
        <f t="shared" si="6"/>
        <v>144</v>
      </c>
      <c r="Q40" s="7">
        <f t="shared" si="7"/>
        <v>9</v>
      </c>
      <c r="R40" s="7">
        <f t="shared" si="12"/>
        <v>386068</v>
      </c>
      <c r="S40" s="7">
        <f t="shared" si="13"/>
        <v>621.34370520670768</v>
      </c>
      <c r="T40" s="2">
        <v>36</v>
      </c>
      <c r="U40" s="2" t="s">
        <v>60</v>
      </c>
      <c r="V40" s="2">
        <v>19</v>
      </c>
      <c r="W40" s="2">
        <v>16</v>
      </c>
      <c r="X40" s="2">
        <v>35</v>
      </c>
    </row>
    <row r="41" spans="1:24" x14ac:dyDescent="0.25">
      <c r="A41" s="9">
        <v>1986</v>
      </c>
      <c r="B41" s="9">
        <v>1124</v>
      </c>
      <c r="C41" s="9">
        <v>574</v>
      </c>
      <c r="D41" s="9">
        <v>262</v>
      </c>
      <c r="E41" s="9">
        <v>100</v>
      </c>
      <c r="F41" s="9">
        <v>24</v>
      </c>
      <c r="G41" s="9">
        <v>22</v>
      </c>
      <c r="H41" s="9">
        <v>4</v>
      </c>
      <c r="I41" s="9">
        <v>1</v>
      </c>
      <c r="J41" s="11">
        <f t="shared" si="0"/>
        <v>226576</v>
      </c>
      <c r="K41" s="11">
        <f t="shared" si="1"/>
        <v>46225</v>
      </c>
      <c r="L41" s="11">
        <f t="shared" si="2"/>
        <v>16384</v>
      </c>
      <c r="M41" s="9">
        <f t="shared" si="3"/>
        <v>441</v>
      </c>
      <c r="N41" s="11">
        <f t="shared" si="4"/>
        <v>676</v>
      </c>
      <c r="O41" s="11">
        <f t="shared" si="5"/>
        <v>2500</v>
      </c>
      <c r="P41" s="11">
        <f t="shared" si="6"/>
        <v>529</v>
      </c>
      <c r="Q41" s="11">
        <f t="shared" si="7"/>
        <v>169</v>
      </c>
      <c r="R41" s="11">
        <f t="shared" si="12"/>
        <v>293500</v>
      </c>
      <c r="S41" s="11">
        <f t="shared" si="13"/>
        <v>541.75640282326151</v>
      </c>
      <c r="T41" s="9">
        <v>34</v>
      </c>
      <c r="U41" s="9" t="s">
        <v>59</v>
      </c>
      <c r="V41" s="9">
        <v>19</v>
      </c>
      <c r="W41" s="9">
        <v>16</v>
      </c>
      <c r="X41" s="9">
        <v>35</v>
      </c>
    </row>
    <row r="42" spans="1:24" x14ac:dyDescent="0.25">
      <c r="A42" s="9">
        <v>1463</v>
      </c>
      <c r="B42" s="9">
        <v>1110</v>
      </c>
      <c r="C42" s="9">
        <v>793</v>
      </c>
      <c r="D42" s="9">
        <v>445</v>
      </c>
      <c r="E42" s="9">
        <v>202</v>
      </c>
      <c r="F42" s="9">
        <v>51</v>
      </c>
      <c r="G42" s="9">
        <v>24</v>
      </c>
      <c r="H42" s="9">
        <v>8</v>
      </c>
      <c r="I42" s="9">
        <v>1</v>
      </c>
      <c r="J42" s="11">
        <f t="shared" si="0"/>
        <v>2209</v>
      </c>
      <c r="K42" s="11">
        <f t="shared" si="1"/>
        <v>52441</v>
      </c>
      <c r="L42" s="11">
        <f t="shared" si="2"/>
        <v>8281</v>
      </c>
      <c r="M42" s="9">
        <f t="shared" si="3"/>
        <v>26244</v>
      </c>
      <c r="N42" s="11">
        <f t="shared" si="4"/>
        <v>5776</v>
      </c>
      <c r="O42" s="11">
        <f t="shared" si="5"/>
        <v>529</v>
      </c>
      <c r="P42" s="11">
        <f t="shared" si="6"/>
        <v>441</v>
      </c>
      <c r="Q42" s="11">
        <f t="shared" si="7"/>
        <v>81</v>
      </c>
      <c r="R42" s="11">
        <f>SUM(J42:Q42)</f>
        <v>96002</v>
      </c>
      <c r="S42" s="11">
        <f>SQRT(R42)</f>
        <v>309.84189516590556</v>
      </c>
      <c r="T42" s="9">
        <v>19</v>
      </c>
      <c r="U42" s="9" t="s">
        <v>59</v>
      </c>
      <c r="V42" s="9">
        <v>19</v>
      </c>
      <c r="W42" s="9">
        <v>16</v>
      </c>
      <c r="X42" s="9">
        <v>35</v>
      </c>
    </row>
    <row r="43" spans="1:24" x14ac:dyDescent="0.25">
      <c r="A43" t="s">
        <v>23</v>
      </c>
    </row>
    <row r="44" spans="1:24" x14ac:dyDescent="0.25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</row>
    <row r="45" spans="1:24" x14ac:dyDescent="0.25">
      <c r="A45" s="2">
        <v>1510</v>
      </c>
      <c r="B45" s="2">
        <v>1339</v>
      </c>
      <c r="C45" s="2">
        <v>702</v>
      </c>
      <c r="D45" s="2">
        <v>283</v>
      </c>
      <c r="E45" s="2">
        <v>126</v>
      </c>
      <c r="F45" s="2">
        <v>74</v>
      </c>
      <c r="G45" s="2">
        <v>45</v>
      </c>
      <c r="H45" s="2">
        <v>17</v>
      </c>
      <c r="I45" s="3">
        <v>0</v>
      </c>
    </row>
    <row r="46" spans="1:24" x14ac:dyDescent="0.25">
      <c r="A46" s="2">
        <v>1510</v>
      </c>
      <c r="B46" s="2">
        <v>1339</v>
      </c>
      <c r="C46" s="2">
        <v>702</v>
      </c>
      <c r="D46" s="2">
        <v>283</v>
      </c>
      <c r="E46" s="2">
        <v>126</v>
      </c>
      <c r="F46" s="2">
        <v>74</v>
      </c>
      <c r="G46" s="2">
        <v>45</v>
      </c>
      <c r="H46" s="2">
        <v>17</v>
      </c>
      <c r="I46" s="3">
        <v>0</v>
      </c>
    </row>
    <row r="47" spans="1:24" x14ac:dyDescent="0.25">
      <c r="A47" s="2">
        <v>1510</v>
      </c>
      <c r="B47" s="2">
        <v>1339</v>
      </c>
      <c r="C47" s="2">
        <v>702</v>
      </c>
      <c r="D47" s="2">
        <v>283</v>
      </c>
      <c r="E47" s="2">
        <v>126</v>
      </c>
      <c r="F47" s="2">
        <v>74</v>
      </c>
      <c r="G47" s="2">
        <v>45</v>
      </c>
      <c r="H47" s="2">
        <v>17</v>
      </c>
      <c r="I47" s="3">
        <v>0</v>
      </c>
    </row>
    <row r="48" spans="1:24" x14ac:dyDescent="0.25">
      <c r="A48" s="2">
        <v>1510</v>
      </c>
      <c r="B48" s="2">
        <v>1339</v>
      </c>
      <c r="C48" s="2">
        <v>702</v>
      </c>
      <c r="D48" s="2">
        <v>283</v>
      </c>
      <c r="E48" s="2">
        <v>126</v>
      </c>
      <c r="F48" s="2">
        <v>74</v>
      </c>
      <c r="G48" s="2">
        <v>45</v>
      </c>
      <c r="H48" s="2">
        <v>17</v>
      </c>
      <c r="I48" s="3">
        <v>0</v>
      </c>
    </row>
    <row r="49" spans="1:9" x14ac:dyDescent="0.25">
      <c r="A49" s="2">
        <v>1510</v>
      </c>
      <c r="B49" s="2">
        <v>1339</v>
      </c>
      <c r="C49" s="2">
        <v>702</v>
      </c>
      <c r="D49" s="2">
        <v>283</v>
      </c>
      <c r="E49" s="2">
        <v>126</v>
      </c>
      <c r="F49" s="2">
        <v>74</v>
      </c>
      <c r="G49" s="2">
        <v>45</v>
      </c>
      <c r="H49" s="2">
        <v>17</v>
      </c>
      <c r="I49" s="3">
        <v>0</v>
      </c>
    </row>
    <row r="50" spans="1:9" x14ac:dyDescent="0.25">
      <c r="A50" s="2">
        <v>1510</v>
      </c>
      <c r="B50" s="2">
        <v>1339</v>
      </c>
      <c r="C50" s="2">
        <v>702</v>
      </c>
      <c r="D50" s="2">
        <v>283</v>
      </c>
      <c r="E50" s="2">
        <v>126</v>
      </c>
      <c r="F50" s="2">
        <v>74</v>
      </c>
      <c r="G50" s="2">
        <v>45</v>
      </c>
      <c r="H50" s="2">
        <v>17</v>
      </c>
      <c r="I50" s="3">
        <v>0</v>
      </c>
    </row>
    <row r="51" spans="1:9" x14ac:dyDescent="0.25">
      <c r="A51" s="2">
        <v>1510</v>
      </c>
      <c r="B51" s="2">
        <v>1339</v>
      </c>
      <c r="C51" s="2">
        <v>702</v>
      </c>
      <c r="D51" s="2">
        <v>283</v>
      </c>
      <c r="E51" s="2">
        <v>126</v>
      </c>
      <c r="F51" s="2">
        <v>74</v>
      </c>
      <c r="G51" s="2">
        <v>45</v>
      </c>
      <c r="H51" s="2">
        <v>17</v>
      </c>
      <c r="I51" s="3">
        <v>0</v>
      </c>
    </row>
    <row r="52" spans="1:9" x14ac:dyDescent="0.25">
      <c r="A52" s="2">
        <v>1510</v>
      </c>
      <c r="B52" s="2">
        <v>1339</v>
      </c>
      <c r="C52" s="2">
        <v>702</v>
      </c>
      <c r="D52" s="2">
        <v>283</v>
      </c>
      <c r="E52" s="2">
        <v>126</v>
      </c>
      <c r="F52" s="2">
        <v>74</v>
      </c>
      <c r="G52" s="2">
        <v>45</v>
      </c>
      <c r="H52" s="2">
        <v>17</v>
      </c>
      <c r="I52" s="3">
        <v>0</v>
      </c>
    </row>
    <row r="53" spans="1:9" x14ac:dyDescent="0.25">
      <c r="A53" s="2">
        <v>1510</v>
      </c>
      <c r="B53" s="2">
        <v>1339</v>
      </c>
      <c r="C53" s="2">
        <v>702</v>
      </c>
      <c r="D53" s="2">
        <v>283</v>
      </c>
      <c r="E53" s="2">
        <v>126</v>
      </c>
      <c r="F53" s="2">
        <v>74</v>
      </c>
      <c r="G53" s="2">
        <v>45</v>
      </c>
      <c r="H53" s="2">
        <v>17</v>
      </c>
      <c r="I53" s="3">
        <v>0</v>
      </c>
    </row>
    <row r="54" spans="1:9" x14ac:dyDescent="0.25">
      <c r="A54" s="2">
        <v>1510</v>
      </c>
      <c r="B54" s="2">
        <v>1339</v>
      </c>
      <c r="C54" s="2">
        <v>702</v>
      </c>
      <c r="D54" s="2">
        <v>283</v>
      </c>
      <c r="E54" s="2">
        <v>126</v>
      </c>
      <c r="F54" s="2">
        <v>74</v>
      </c>
      <c r="G54" s="2">
        <v>45</v>
      </c>
      <c r="H54" s="2">
        <v>17</v>
      </c>
      <c r="I54" s="3">
        <v>0</v>
      </c>
    </row>
    <row r="55" spans="1:9" x14ac:dyDescent="0.25">
      <c r="A55" s="2">
        <v>1510</v>
      </c>
      <c r="B55" s="2">
        <v>1339</v>
      </c>
      <c r="C55" s="2">
        <v>702</v>
      </c>
      <c r="D55" s="2">
        <v>283</v>
      </c>
      <c r="E55" s="2">
        <v>126</v>
      </c>
      <c r="F55" s="2">
        <v>74</v>
      </c>
      <c r="G55" s="2">
        <v>45</v>
      </c>
      <c r="H55" s="2">
        <v>17</v>
      </c>
      <c r="I55" s="3">
        <v>0</v>
      </c>
    </row>
    <row r="56" spans="1:9" x14ac:dyDescent="0.25">
      <c r="A56" s="2">
        <v>1510</v>
      </c>
      <c r="B56" s="2">
        <v>1339</v>
      </c>
      <c r="C56" s="2">
        <v>702</v>
      </c>
      <c r="D56" s="2">
        <v>283</v>
      </c>
      <c r="E56" s="2">
        <v>126</v>
      </c>
      <c r="F56" s="2">
        <v>74</v>
      </c>
      <c r="G56" s="2">
        <v>45</v>
      </c>
      <c r="H56" s="2">
        <v>17</v>
      </c>
      <c r="I56" s="3">
        <v>0</v>
      </c>
    </row>
    <row r="57" spans="1:9" x14ac:dyDescent="0.25">
      <c r="A57" s="2">
        <v>1510</v>
      </c>
      <c r="B57" s="2">
        <v>1339</v>
      </c>
      <c r="C57" s="2">
        <v>702</v>
      </c>
      <c r="D57" s="2">
        <v>283</v>
      </c>
      <c r="E57" s="2">
        <v>126</v>
      </c>
      <c r="F57" s="2">
        <v>74</v>
      </c>
      <c r="G57" s="2">
        <v>45</v>
      </c>
      <c r="H57" s="2">
        <v>17</v>
      </c>
      <c r="I57" s="3">
        <v>0</v>
      </c>
    </row>
    <row r="58" spans="1:9" x14ac:dyDescent="0.25">
      <c r="A58" s="2">
        <v>1510</v>
      </c>
      <c r="B58" s="2">
        <v>1339</v>
      </c>
      <c r="C58" s="2">
        <v>702</v>
      </c>
      <c r="D58" s="2">
        <v>283</v>
      </c>
      <c r="E58" s="2">
        <v>126</v>
      </c>
      <c r="F58" s="2">
        <v>74</v>
      </c>
      <c r="G58" s="2">
        <v>45</v>
      </c>
      <c r="H58" s="2">
        <v>17</v>
      </c>
      <c r="I58" s="3">
        <v>0</v>
      </c>
    </row>
    <row r="59" spans="1:9" x14ac:dyDescent="0.25">
      <c r="A59" s="2">
        <v>1510</v>
      </c>
      <c r="B59" s="2">
        <v>1339</v>
      </c>
      <c r="C59" s="2">
        <v>702</v>
      </c>
      <c r="D59" s="2">
        <v>283</v>
      </c>
      <c r="E59" s="2">
        <v>126</v>
      </c>
      <c r="F59" s="2">
        <v>74</v>
      </c>
      <c r="G59" s="2">
        <v>45</v>
      </c>
      <c r="H59" s="2">
        <v>17</v>
      </c>
      <c r="I59" s="3">
        <v>0</v>
      </c>
    </row>
    <row r="60" spans="1:9" x14ac:dyDescent="0.25">
      <c r="A60" s="2">
        <v>1510</v>
      </c>
      <c r="B60" s="2">
        <v>1339</v>
      </c>
      <c r="C60" s="2">
        <v>702</v>
      </c>
      <c r="D60" s="2">
        <v>283</v>
      </c>
      <c r="E60" s="2">
        <v>126</v>
      </c>
      <c r="F60" s="2">
        <v>74</v>
      </c>
      <c r="G60" s="2">
        <v>45</v>
      </c>
      <c r="H60" s="2">
        <v>17</v>
      </c>
      <c r="I60" s="3">
        <v>0</v>
      </c>
    </row>
    <row r="61" spans="1:9" x14ac:dyDescent="0.25">
      <c r="A61" s="2">
        <v>1510</v>
      </c>
      <c r="B61" s="2">
        <v>1339</v>
      </c>
      <c r="C61" s="2">
        <v>702</v>
      </c>
      <c r="D61" s="2">
        <v>283</v>
      </c>
      <c r="E61" s="2">
        <v>126</v>
      </c>
      <c r="F61" s="2">
        <v>74</v>
      </c>
      <c r="G61" s="2">
        <v>45</v>
      </c>
      <c r="H61" s="2">
        <v>17</v>
      </c>
      <c r="I61" s="3">
        <v>0</v>
      </c>
    </row>
    <row r="62" spans="1:9" x14ac:dyDescent="0.25">
      <c r="A62" s="2">
        <v>1510</v>
      </c>
      <c r="B62" s="2">
        <v>1339</v>
      </c>
      <c r="C62" s="2">
        <v>702</v>
      </c>
      <c r="D62" s="2">
        <v>283</v>
      </c>
      <c r="E62" s="2">
        <v>126</v>
      </c>
      <c r="F62" s="2">
        <v>74</v>
      </c>
      <c r="G62" s="2">
        <v>45</v>
      </c>
      <c r="H62" s="2">
        <v>17</v>
      </c>
      <c r="I62" s="3">
        <v>0</v>
      </c>
    </row>
    <row r="63" spans="1:9" x14ac:dyDescent="0.25">
      <c r="A63" s="2">
        <v>1510</v>
      </c>
      <c r="B63" s="2">
        <v>1339</v>
      </c>
      <c r="C63" s="2">
        <v>702</v>
      </c>
      <c r="D63" s="2">
        <v>283</v>
      </c>
      <c r="E63" s="2">
        <v>126</v>
      </c>
      <c r="F63" s="2">
        <v>74</v>
      </c>
      <c r="G63" s="2">
        <v>45</v>
      </c>
      <c r="H63" s="2">
        <v>17</v>
      </c>
      <c r="I63" s="3">
        <v>0</v>
      </c>
    </row>
    <row r="64" spans="1:9" x14ac:dyDescent="0.25">
      <c r="A64" s="2">
        <v>1510</v>
      </c>
      <c r="B64" s="2">
        <v>1339</v>
      </c>
      <c r="C64" s="2">
        <v>702</v>
      </c>
      <c r="D64" s="2">
        <v>283</v>
      </c>
      <c r="E64" s="2">
        <v>126</v>
      </c>
      <c r="F64" s="2">
        <v>74</v>
      </c>
      <c r="G64" s="2">
        <v>45</v>
      </c>
      <c r="H64" s="2">
        <v>17</v>
      </c>
      <c r="I64" s="3">
        <v>0</v>
      </c>
    </row>
    <row r="65" spans="1:9" x14ac:dyDescent="0.25">
      <c r="A65" s="2">
        <v>1510</v>
      </c>
      <c r="B65" s="2">
        <v>1339</v>
      </c>
      <c r="C65" s="2">
        <v>702</v>
      </c>
      <c r="D65" s="2">
        <v>283</v>
      </c>
      <c r="E65" s="2">
        <v>126</v>
      </c>
      <c r="F65" s="2">
        <v>74</v>
      </c>
      <c r="G65" s="2">
        <v>45</v>
      </c>
      <c r="H65" s="2">
        <v>17</v>
      </c>
      <c r="I65" s="3">
        <v>0</v>
      </c>
    </row>
    <row r="66" spans="1:9" x14ac:dyDescent="0.25">
      <c r="A66" s="2">
        <v>1510</v>
      </c>
      <c r="B66" s="2">
        <v>1339</v>
      </c>
      <c r="C66" s="2">
        <v>702</v>
      </c>
      <c r="D66" s="2">
        <v>283</v>
      </c>
      <c r="E66" s="2">
        <v>126</v>
      </c>
      <c r="F66" s="2">
        <v>74</v>
      </c>
      <c r="G66" s="2">
        <v>45</v>
      </c>
      <c r="H66" s="2">
        <v>17</v>
      </c>
      <c r="I66" s="3">
        <v>0</v>
      </c>
    </row>
    <row r="67" spans="1:9" x14ac:dyDescent="0.25">
      <c r="A67" s="2">
        <v>1510</v>
      </c>
      <c r="B67" s="2">
        <v>1339</v>
      </c>
      <c r="C67" s="2">
        <v>702</v>
      </c>
      <c r="D67" s="2">
        <v>283</v>
      </c>
      <c r="E67" s="2">
        <v>126</v>
      </c>
      <c r="F67" s="2">
        <v>74</v>
      </c>
      <c r="G67" s="2">
        <v>45</v>
      </c>
      <c r="H67" s="2">
        <v>17</v>
      </c>
      <c r="I67" s="3">
        <v>0</v>
      </c>
    </row>
    <row r="68" spans="1:9" x14ac:dyDescent="0.25">
      <c r="A68" s="2">
        <v>1510</v>
      </c>
      <c r="B68" s="2">
        <v>1339</v>
      </c>
      <c r="C68" s="2">
        <v>702</v>
      </c>
      <c r="D68" s="2">
        <v>283</v>
      </c>
      <c r="E68" s="2">
        <v>126</v>
      </c>
      <c r="F68" s="2">
        <v>74</v>
      </c>
      <c r="G68" s="2">
        <v>45</v>
      </c>
      <c r="H68" s="2">
        <v>17</v>
      </c>
      <c r="I68" s="3">
        <v>0</v>
      </c>
    </row>
    <row r="69" spans="1:9" x14ac:dyDescent="0.25">
      <c r="A69" s="2">
        <v>1510</v>
      </c>
      <c r="B69" s="2">
        <v>1339</v>
      </c>
      <c r="C69" s="2">
        <v>702</v>
      </c>
      <c r="D69" s="2">
        <v>283</v>
      </c>
      <c r="E69" s="2">
        <v>126</v>
      </c>
      <c r="F69" s="2">
        <v>74</v>
      </c>
      <c r="G69" s="2">
        <v>45</v>
      </c>
      <c r="H69" s="2">
        <v>17</v>
      </c>
      <c r="I69" s="3">
        <v>0</v>
      </c>
    </row>
    <row r="70" spans="1:9" x14ac:dyDescent="0.25">
      <c r="A70" s="2">
        <v>1510</v>
      </c>
      <c r="B70" s="2">
        <v>1339</v>
      </c>
      <c r="C70" s="2">
        <v>702</v>
      </c>
      <c r="D70" s="2">
        <v>283</v>
      </c>
      <c r="E70" s="2">
        <v>126</v>
      </c>
      <c r="F70" s="2">
        <v>74</v>
      </c>
      <c r="G70" s="2">
        <v>45</v>
      </c>
      <c r="H70" s="2">
        <v>17</v>
      </c>
      <c r="I70" s="3">
        <v>0</v>
      </c>
    </row>
    <row r="71" spans="1:9" x14ac:dyDescent="0.25">
      <c r="A71" s="2">
        <v>1510</v>
      </c>
      <c r="B71" s="2">
        <v>1339</v>
      </c>
      <c r="C71" s="2">
        <v>702</v>
      </c>
      <c r="D71" s="2">
        <v>283</v>
      </c>
      <c r="E71" s="2">
        <v>126</v>
      </c>
      <c r="F71" s="2">
        <v>74</v>
      </c>
      <c r="G71" s="2">
        <v>45</v>
      </c>
      <c r="H71" s="2">
        <v>17</v>
      </c>
      <c r="I71" s="3">
        <v>0</v>
      </c>
    </row>
    <row r="72" spans="1:9" x14ac:dyDescent="0.25">
      <c r="A72" s="2">
        <v>1510</v>
      </c>
      <c r="B72" s="2">
        <v>1339</v>
      </c>
      <c r="C72" s="2">
        <v>702</v>
      </c>
      <c r="D72" s="2">
        <v>283</v>
      </c>
      <c r="E72" s="2">
        <v>126</v>
      </c>
      <c r="F72" s="2">
        <v>74</v>
      </c>
      <c r="G72" s="2">
        <v>45</v>
      </c>
      <c r="H72" s="2">
        <v>17</v>
      </c>
      <c r="I72" s="3">
        <v>0</v>
      </c>
    </row>
    <row r="73" spans="1:9" x14ac:dyDescent="0.25">
      <c r="A73" s="2">
        <v>1510</v>
      </c>
      <c r="B73" s="2">
        <v>1339</v>
      </c>
      <c r="C73" s="2">
        <v>702</v>
      </c>
      <c r="D73" s="2">
        <v>283</v>
      </c>
      <c r="E73" s="2">
        <v>126</v>
      </c>
      <c r="F73" s="2">
        <v>74</v>
      </c>
      <c r="G73" s="2">
        <v>45</v>
      </c>
      <c r="H73" s="2">
        <v>17</v>
      </c>
      <c r="I73" s="3">
        <v>0</v>
      </c>
    </row>
    <row r="74" spans="1:9" x14ac:dyDescent="0.25">
      <c r="A74" s="2">
        <v>1510</v>
      </c>
      <c r="B74" s="2">
        <v>1339</v>
      </c>
      <c r="C74" s="2">
        <v>702</v>
      </c>
      <c r="D74" s="2">
        <v>283</v>
      </c>
      <c r="E74" s="2">
        <v>126</v>
      </c>
      <c r="F74" s="2">
        <v>74</v>
      </c>
      <c r="G74" s="2">
        <v>45</v>
      </c>
      <c r="H74" s="2">
        <v>17</v>
      </c>
      <c r="I74" s="3">
        <v>0</v>
      </c>
    </row>
    <row r="75" spans="1:9" x14ac:dyDescent="0.25">
      <c r="A75" s="2">
        <v>1510</v>
      </c>
      <c r="B75" s="2">
        <v>1339</v>
      </c>
      <c r="C75" s="2">
        <v>702</v>
      </c>
      <c r="D75" s="2">
        <v>283</v>
      </c>
      <c r="E75" s="2">
        <v>126</v>
      </c>
      <c r="F75" s="2">
        <v>74</v>
      </c>
      <c r="G75" s="2">
        <v>45</v>
      </c>
      <c r="H75" s="2">
        <v>17</v>
      </c>
      <c r="I75" s="3">
        <v>0</v>
      </c>
    </row>
    <row r="76" spans="1:9" x14ac:dyDescent="0.25">
      <c r="A76" s="2">
        <v>1510</v>
      </c>
      <c r="B76" s="2">
        <v>1339</v>
      </c>
      <c r="C76" s="2">
        <v>702</v>
      </c>
      <c r="D76" s="2">
        <v>283</v>
      </c>
      <c r="E76" s="2">
        <v>126</v>
      </c>
      <c r="F76" s="2">
        <v>74</v>
      </c>
      <c r="G76" s="2">
        <v>45</v>
      </c>
      <c r="H76" s="2">
        <v>17</v>
      </c>
      <c r="I76" s="3">
        <v>0</v>
      </c>
    </row>
    <row r="77" spans="1:9" x14ac:dyDescent="0.25">
      <c r="A77" s="2">
        <v>1510</v>
      </c>
      <c r="B77" s="2">
        <v>1339</v>
      </c>
      <c r="C77" s="2">
        <v>702</v>
      </c>
      <c r="D77" s="2">
        <v>283</v>
      </c>
      <c r="E77" s="2">
        <v>126</v>
      </c>
      <c r="F77" s="2">
        <v>74</v>
      </c>
      <c r="G77" s="2">
        <v>45</v>
      </c>
      <c r="H77" s="2">
        <v>17</v>
      </c>
      <c r="I77" s="3">
        <v>0</v>
      </c>
    </row>
    <row r="78" spans="1:9" x14ac:dyDescent="0.25">
      <c r="A78" s="2">
        <v>1510</v>
      </c>
      <c r="B78" s="2">
        <v>1339</v>
      </c>
      <c r="C78" s="2">
        <v>702</v>
      </c>
      <c r="D78" s="2">
        <v>283</v>
      </c>
      <c r="E78" s="2">
        <v>126</v>
      </c>
      <c r="F78" s="2">
        <v>74</v>
      </c>
      <c r="G78" s="2">
        <v>45</v>
      </c>
      <c r="H78" s="2">
        <v>17</v>
      </c>
      <c r="I78" s="3">
        <v>0</v>
      </c>
    </row>
    <row r="79" spans="1:9" x14ac:dyDescent="0.25">
      <c r="A79" s="2">
        <v>1510</v>
      </c>
      <c r="B79" s="2">
        <v>1339</v>
      </c>
      <c r="C79" s="2">
        <v>702</v>
      </c>
      <c r="D79" s="2">
        <v>283</v>
      </c>
      <c r="E79" s="2">
        <v>126</v>
      </c>
      <c r="F79" s="2">
        <v>74</v>
      </c>
      <c r="G79" s="2">
        <v>45</v>
      </c>
      <c r="H79" s="2">
        <v>17</v>
      </c>
      <c r="I79" s="3">
        <v>0</v>
      </c>
    </row>
    <row r="80" spans="1:9" x14ac:dyDescent="0.25">
      <c r="A80" s="2">
        <v>1510</v>
      </c>
      <c r="B80" s="2">
        <v>1339</v>
      </c>
      <c r="C80" s="2">
        <v>702</v>
      </c>
      <c r="D80" s="2">
        <v>283</v>
      </c>
      <c r="E80" s="2">
        <v>126</v>
      </c>
      <c r="F80" s="2">
        <v>74</v>
      </c>
      <c r="G80" s="2">
        <v>45</v>
      </c>
      <c r="H80" s="2">
        <v>17</v>
      </c>
      <c r="I80" s="3">
        <v>0</v>
      </c>
    </row>
    <row r="81" spans="1:9" x14ac:dyDescent="0.25">
      <c r="A81" s="2">
        <v>1510</v>
      </c>
      <c r="B81" s="2">
        <v>1339</v>
      </c>
      <c r="C81" s="2">
        <v>702</v>
      </c>
      <c r="D81" s="2">
        <v>283</v>
      </c>
      <c r="E81" s="2">
        <v>126</v>
      </c>
      <c r="F81" s="2">
        <v>74</v>
      </c>
      <c r="G81" s="2">
        <v>45</v>
      </c>
      <c r="H81" s="2">
        <v>17</v>
      </c>
      <c r="I81" s="3">
        <v>0</v>
      </c>
    </row>
    <row r="82" spans="1:9" x14ac:dyDescent="0.25">
      <c r="A82" s="2">
        <v>1510</v>
      </c>
      <c r="B82" s="2">
        <v>1339</v>
      </c>
      <c r="C82" s="2">
        <v>702</v>
      </c>
      <c r="D82" s="2">
        <v>283</v>
      </c>
      <c r="E82" s="2">
        <v>126</v>
      </c>
      <c r="F82" s="2">
        <v>74</v>
      </c>
      <c r="G82" s="2">
        <v>45</v>
      </c>
      <c r="H82" s="2">
        <v>17</v>
      </c>
      <c r="I82" s="3">
        <v>0</v>
      </c>
    </row>
    <row r="83" spans="1:9" x14ac:dyDescent="0.25">
      <c r="A83" s="2">
        <v>1510</v>
      </c>
      <c r="B83" s="2">
        <v>1339</v>
      </c>
      <c r="C83" s="2">
        <v>702</v>
      </c>
      <c r="D83" s="2">
        <v>283</v>
      </c>
      <c r="E83" s="2">
        <v>126</v>
      </c>
      <c r="F83" s="2">
        <v>74</v>
      </c>
      <c r="G83" s="2">
        <v>45</v>
      </c>
      <c r="H83" s="2">
        <v>17</v>
      </c>
      <c r="I83" s="3">
        <v>0</v>
      </c>
    </row>
    <row r="84" spans="1:9" x14ac:dyDescent="0.25">
      <c r="A84" s="2">
        <v>1510</v>
      </c>
      <c r="B84" s="2">
        <v>1339</v>
      </c>
      <c r="C84" s="2">
        <v>702</v>
      </c>
      <c r="D84" s="2">
        <v>283</v>
      </c>
      <c r="E84" s="2">
        <v>126</v>
      </c>
      <c r="F84" s="2">
        <v>74</v>
      </c>
      <c r="G84" s="2">
        <v>45</v>
      </c>
      <c r="H84" s="2">
        <v>17</v>
      </c>
      <c r="I8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ED78-7FA0-49C2-9F7A-8EE32248FC61}">
  <dimension ref="A1:X84"/>
  <sheetViews>
    <sheetView zoomScale="70" zoomScaleNormal="70" workbookViewId="0">
      <selection activeCell="V1" sqref="V1"/>
    </sheetView>
  </sheetViews>
  <sheetFormatPr defaultRowHeight="15" x14ac:dyDescent="0.25"/>
  <cols>
    <col min="1" max="1" width="9.140625" customWidth="1"/>
    <col min="10" max="10" width="11.42578125" bestFit="1" customWidth="1"/>
    <col min="11" max="11" width="10.140625" bestFit="1" customWidth="1"/>
    <col min="12" max="12" width="13" bestFit="1" customWidth="1"/>
    <col min="13" max="13" width="10.5703125" bestFit="1" customWidth="1"/>
    <col min="14" max="17" width="10.7109375" customWidth="1"/>
    <col min="18" max="18" width="14.28515625" bestFit="1" customWidth="1"/>
    <col min="19" max="19" width="9.5703125" bestFit="1" customWidth="1"/>
    <col min="20" max="20" width="10.28515625" customWidth="1"/>
    <col min="21" max="21" width="8.140625" customWidth="1"/>
    <col min="22" max="22" width="7.7109375" customWidth="1"/>
    <col min="23" max="23" width="6.5703125" customWidth="1"/>
    <col min="24" max="24" width="3.85546875" bestFit="1" customWidth="1"/>
  </cols>
  <sheetData>
    <row r="1" spans="1:24" x14ac:dyDescent="0.25">
      <c r="A1" t="s">
        <v>54</v>
      </c>
    </row>
    <row r="2" spans="1:2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17" t="s">
        <v>9</v>
      </c>
      <c r="U2" s="17" t="s">
        <v>55</v>
      </c>
      <c r="V2" s="17" t="s">
        <v>56</v>
      </c>
      <c r="W2" s="17" t="s">
        <v>57</v>
      </c>
      <c r="X2" s="17" t="s">
        <v>58</v>
      </c>
    </row>
    <row r="3" spans="1:24" x14ac:dyDescent="0.25">
      <c r="A3" s="8">
        <v>1537</v>
      </c>
      <c r="B3" s="8">
        <v>1323</v>
      </c>
      <c r="C3" s="8">
        <v>770</v>
      </c>
      <c r="D3" s="8">
        <v>263</v>
      </c>
      <c r="E3" s="8">
        <v>108</v>
      </c>
      <c r="F3" s="8">
        <v>41</v>
      </c>
      <c r="G3" s="8">
        <v>45</v>
      </c>
      <c r="H3" s="8">
        <v>9</v>
      </c>
      <c r="I3" s="8">
        <v>0</v>
      </c>
      <c r="J3" s="10">
        <f t="shared" ref="J3:J42" si="0">SUMSQ(A3-A45)</f>
        <v>15625</v>
      </c>
      <c r="K3" s="10">
        <f t="shared" ref="K3:K42" si="1">SUMSQ(B3-B45)</f>
        <v>3844</v>
      </c>
      <c r="L3" s="10">
        <f t="shared" ref="L3:L42" si="2">SUMSQ(C3-C45)</f>
        <v>4</v>
      </c>
      <c r="M3" s="8">
        <f t="shared" ref="M3:M42" si="3">SUMSQ(D3-D45)</f>
        <v>3136</v>
      </c>
      <c r="N3" s="10">
        <f t="shared" ref="N3:N42" si="4">SUMSQ(E3-E45)</f>
        <v>64</v>
      </c>
      <c r="O3" s="10">
        <f t="shared" ref="O3:O42" si="5">SUMSQ(F3-F45)</f>
        <v>529</v>
      </c>
      <c r="P3" s="10">
        <f t="shared" ref="P3:P42" si="6">SUMSQ(G3-G45)</f>
        <v>256</v>
      </c>
      <c r="Q3" s="10">
        <f t="shared" ref="Q3:Q42" si="7">SUMSQ(H3-H45)</f>
        <v>16</v>
      </c>
      <c r="R3" s="10">
        <f t="shared" ref="R3:R42" si="8">SUM(J3:Q3)</f>
        <v>23474</v>
      </c>
      <c r="S3" s="10">
        <f t="shared" ref="S3:S42" si="9">SQRT(R3)</f>
        <v>153.2122710490253</v>
      </c>
      <c r="T3" s="8">
        <v>4</v>
      </c>
      <c r="U3" s="8" t="s">
        <v>59</v>
      </c>
      <c r="V3" s="8">
        <v>19</v>
      </c>
      <c r="W3" s="8">
        <v>16</v>
      </c>
      <c r="X3" s="8">
        <v>35</v>
      </c>
    </row>
    <row r="4" spans="1:24" x14ac:dyDescent="0.25">
      <c r="A4" s="8">
        <v>2060</v>
      </c>
      <c r="B4" s="8">
        <v>1176</v>
      </c>
      <c r="C4" s="8">
        <v>544</v>
      </c>
      <c r="D4" s="8">
        <v>191</v>
      </c>
      <c r="E4" s="8">
        <v>58</v>
      </c>
      <c r="F4" s="8">
        <v>48</v>
      </c>
      <c r="G4" s="8">
        <v>17</v>
      </c>
      <c r="H4" s="8">
        <v>2</v>
      </c>
      <c r="I4" s="8">
        <v>0</v>
      </c>
      <c r="J4" s="10">
        <f t="shared" si="0"/>
        <v>158404</v>
      </c>
      <c r="K4" s="10">
        <f t="shared" si="1"/>
        <v>7225</v>
      </c>
      <c r="L4" s="10">
        <f t="shared" si="2"/>
        <v>50176</v>
      </c>
      <c r="M4" s="8">
        <f t="shared" si="3"/>
        <v>256</v>
      </c>
      <c r="N4" s="10">
        <f t="shared" si="4"/>
        <v>1764</v>
      </c>
      <c r="O4" s="10">
        <f t="shared" si="5"/>
        <v>256</v>
      </c>
      <c r="P4" s="10">
        <f t="shared" si="6"/>
        <v>144</v>
      </c>
      <c r="Q4" s="10">
        <f t="shared" si="7"/>
        <v>9</v>
      </c>
      <c r="R4" s="10">
        <f t="shared" si="8"/>
        <v>218234</v>
      </c>
      <c r="S4" s="10">
        <f t="shared" si="9"/>
        <v>467.15522045675567</v>
      </c>
      <c r="T4" s="8">
        <v>28</v>
      </c>
      <c r="U4" s="8" t="s">
        <v>59</v>
      </c>
      <c r="V4" s="8">
        <v>19</v>
      </c>
      <c r="W4" s="8">
        <v>16</v>
      </c>
      <c r="X4" s="8">
        <v>35</v>
      </c>
    </row>
    <row r="5" spans="1:24" x14ac:dyDescent="0.25">
      <c r="A5" s="8">
        <v>1658</v>
      </c>
      <c r="B5" s="8">
        <v>1245</v>
      </c>
      <c r="C5" s="8">
        <v>681</v>
      </c>
      <c r="D5" s="8">
        <v>310</v>
      </c>
      <c r="E5" s="8">
        <v>134</v>
      </c>
      <c r="F5" s="8">
        <v>45</v>
      </c>
      <c r="G5" s="8">
        <v>10</v>
      </c>
      <c r="H5" s="8">
        <v>13</v>
      </c>
      <c r="I5" s="8">
        <v>0</v>
      </c>
      <c r="J5" s="10">
        <f t="shared" si="0"/>
        <v>16</v>
      </c>
      <c r="K5" s="10">
        <f t="shared" si="1"/>
        <v>256</v>
      </c>
      <c r="L5" s="10">
        <f t="shared" si="2"/>
        <v>7569</v>
      </c>
      <c r="M5" s="8">
        <f t="shared" si="3"/>
        <v>10609</v>
      </c>
      <c r="N5" s="10">
        <f t="shared" si="4"/>
        <v>1156</v>
      </c>
      <c r="O5" s="10">
        <f t="shared" si="5"/>
        <v>361</v>
      </c>
      <c r="P5" s="10">
        <f t="shared" si="6"/>
        <v>361</v>
      </c>
      <c r="Q5" s="10">
        <f t="shared" si="7"/>
        <v>64</v>
      </c>
      <c r="R5" s="10">
        <f t="shared" si="8"/>
        <v>20392</v>
      </c>
      <c r="S5" s="10">
        <f t="shared" si="9"/>
        <v>142.80056022299073</v>
      </c>
      <c r="T5" s="8">
        <v>3</v>
      </c>
      <c r="U5" s="8" t="s">
        <v>59</v>
      </c>
      <c r="V5" s="8">
        <v>19</v>
      </c>
      <c r="W5" s="8">
        <v>16</v>
      </c>
      <c r="X5" s="8">
        <v>35</v>
      </c>
    </row>
    <row r="6" spans="1:24" x14ac:dyDescent="0.25">
      <c r="A6" s="8">
        <v>1265</v>
      </c>
      <c r="B6" s="8">
        <v>1167</v>
      </c>
      <c r="C6" s="8">
        <v>879</v>
      </c>
      <c r="D6" s="8">
        <v>440</v>
      </c>
      <c r="E6" s="8">
        <v>228</v>
      </c>
      <c r="F6" s="8">
        <v>67</v>
      </c>
      <c r="G6" s="8">
        <v>31</v>
      </c>
      <c r="H6" s="8">
        <v>19</v>
      </c>
      <c r="I6" s="8">
        <v>0</v>
      </c>
      <c r="J6" s="10">
        <f t="shared" si="0"/>
        <v>157609</v>
      </c>
      <c r="K6" s="10">
        <f t="shared" si="1"/>
        <v>8836</v>
      </c>
      <c r="L6" s="10">
        <f t="shared" si="2"/>
        <v>12321</v>
      </c>
      <c r="M6" s="8">
        <f t="shared" si="3"/>
        <v>54289</v>
      </c>
      <c r="N6" s="10">
        <f t="shared" si="4"/>
        <v>16384</v>
      </c>
      <c r="O6" s="10">
        <f t="shared" si="5"/>
        <v>9</v>
      </c>
      <c r="P6" s="10">
        <f t="shared" si="6"/>
        <v>4</v>
      </c>
      <c r="Q6" s="10">
        <f t="shared" si="7"/>
        <v>196</v>
      </c>
      <c r="R6" s="10">
        <f t="shared" si="8"/>
        <v>249648</v>
      </c>
      <c r="S6" s="10">
        <f t="shared" si="9"/>
        <v>499.64787600869477</v>
      </c>
      <c r="T6" s="8">
        <v>32</v>
      </c>
      <c r="U6" s="8" t="s">
        <v>59</v>
      </c>
      <c r="V6" s="8">
        <v>19</v>
      </c>
      <c r="W6" s="8">
        <v>16</v>
      </c>
      <c r="X6" s="8">
        <v>35</v>
      </c>
    </row>
    <row r="7" spans="1:24" x14ac:dyDescent="0.25">
      <c r="A7" s="8">
        <v>1197</v>
      </c>
      <c r="B7" s="8">
        <v>1262</v>
      </c>
      <c r="C7" s="8">
        <v>870</v>
      </c>
      <c r="D7" s="8">
        <v>414</v>
      </c>
      <c r="E7" s="8">
        <v>213</v>
      </c>
      <c r="F7" s="8">
        <v>92</v>
      </c>
      <c r="G7" s="8">
        <v>32</v>
      </c>
      <c r="H7" s="8">
        <v>16</v>
      </c>
      <c r="I7" s="8">
        <v>0</v>
      </c>
      <c r="J7" s="10">
        <f t="shared" si="0"/>
        <v>216225</v>
      </c>
      <c r="K7" s="10">
        <f t="shared" si="1"/>
        <v>1</v>
      </c>
      <c r="L7" s="10">
        <f t="shared" si="2"/>
        <v>10404</v>
      </c>
      <c r="M7" s="8">
        <f t="shared" si="3"/>
        <v>42849</v>
      </c>
      <c r="N7" s="10">
        <f t="shared" si="4"/>
        <v>12769</v>
      </c>
      <c r="O7" s="10">
        <f t="shared" si="5"/>
        <v>784</v>
      </c>
      <c r="P7" s="10">
        <f t="shared" si="6"/>
        <v>9</v>
      </c>
      <c r="Q7" s="10">
        <f t="shared" si="7"/>
        <v>121</v>
      </c>
      <c r="R7" s="10">
        <f t="shared" si="8"/>
        <v>283162</v>
      </c>
      <c r="S7" s="10">
        <f t="shared" si="9"/>
        <v>532.12968344192188</v>
      </c>
      <c r="T7" s="8">
        <v>35</v>
      </c>
      <c r="U7" s="8" t="s">
        <v>59</v>
      </c>
      <c r="V7" s="8">
        <v>19</v>
      </c>
      <c r="W7" s="8">
        <v>16</v>
      </c>
      <c r="X7" s="8">
        <v>35</v>
      </c>
    </row>
    <row r="8" spans="1:24" x14ac:dyDescent="0.25">
      <c r="A8" s="8">
        <v>1784</v>
      </c>
      <c r="B8" s="8">
        <v>1230</v>
      </c>
      <c r="C8" s="8">
        <v>731</v>
      </c>
      <c r="D8" s="8">
        <v>213</v>
      </c>
      <c r="E8" s="8">
        <v>89</v>
      </c>
      <c r="F8" s="8">
        <v>27</v>
      </c>
      <c r="G8" s="8">
        <v>5</v>
      </c>
      <c r="H8" s="8">
        <v>17</v>
      </c>
      <c r="I8" s="8">
        <v>0</v>
      </c>
      <c r="J8" s="10">
        <f t="shared" si="0"/>
        <v>14884</v>
      </c>
      <c r="K8" s="10">
        <f t="shared" si="1"/>
        <v>961</v>
      </c>
      <c r="L8" s="10">
        <f t="shared" si="2"/>
        <v>1369</v>
      </c>
      <c r="M8" s="8">
        <f t="shared" si="3"/>
        <v>36</v>
      </c>
      <c r="N8" s="10">
        <f t="shared" si="4"/>
        <v>121</v>
      </c>
      <c r="O8" s="10">
        <f t="shared" si="5"/>
        <v>1369</v>
      </c>
      <c r="P8" s="10">
        <f t="shared" si="6"/>
        <v>576</v>
      </c>
      <c r="Q8" s="10">
        <f t="shared" si="7"/>
        <v>144</v>
      </c>
      <c r="R8" s="10">
        <f t="shared" si="8"/>
        <v>19460</v>
      </c>
      <c r="S8" s="10">
        <f t="shared" si="9"/>
        <v>139.49910393977447</v>
      </c>
      <c r="T8" s="8">
        <v>2</v>
      </c>
      <c r="U8" s="8" t="s">
        <v>59</v>
      </c>
      <c r="V8" s="8">
        <v>19</v>
      </c>
      <c r="W8" s="8">
        <v>16</v>
      </c>
      <c r="X8" s="8">
        <v>35</v>
      </c>
    </row>
    <row r="9" spans="1:24" x14ac:dyDescent="0.25">
      <c r="A9" s="8">
        <v>1343</v>
      </c>
      <c r="B9" s="8">
        <v>1380</v>
      </c>
      <c r="C9" s="8">
        <v>877</v>
      </c>
      <c r="D9" s="8">
        <v>315</v>
      </c>
      <c r="E9" s="8">
        <v>107</v>
      </c>
      <c r="F9" s="8">
        <v>39</v>
      </c>
      <c r="G9" s="8">
        <v>29</v>
      </c>
      <c r="H9" s="8">
        <v>6</v>
      </c>
      <c r="I9" s="8">
        <v>0</v>
      </c>
      <c r="J9" s="10">
        <f t="shared" si="0"/>
        <v>101761</v>
      </c>
      <c r="K9" s="10">
        <f t="shared" si="1"/>
        <v>14161</v>
      </c>
      <c r="L9" s="10">
        <f t="shared" si="2"/>
        <v>11881</v>
      </c>
      <c r="M9" s="8">
        <f t="shared" si="3"/>
        <v>11664</v>
      </c>
      <c r="N9" s="10">
        <f t="shared" si="4"/>
        <v>49</v>
      </c>
      <c r="O9" s="10">
        <f t="shared" si="5"/>
        <v>625</v>
      </c>
      <c r="P9" s="10">
        <f t="shared" si="6"/>
        <v>0</v>
      </c>
      <c r="Q9" s="10">
        <f t="shared" si="7"/>
        <v>1</v>
      </c>
      <c r="R9" s="10">
        <f t="shared" si="8"/>
        <v>140142</v>
      </c>
      <c r="S9" s="10">
        <f t="shared" si="9"/>
        <v>374.35544606696988</v>
      </c>
      <c r="T9" s="8">
        <v>24</v>
      </c>
      <c r="U9" s="8" t="s">
        <v>59</v>
      </c>
      <c r="V9" s="8">
        <v>19</v>
      </c>
      <c r="W9" s="8">
        <v>16</v>
      </c>
      <c r="X9" s="8">
        <v>35</v>
      </c>
    </row>
    <row r="10" spans="1:24" x14ac:dyDescent="0.25">
      <c r="A10" s="8">
        <v>1401</v>
      </c>
      <c r="B10" s="8">
        <v>1351</v>
      </c>
      <c r="C10" s="8">
        <v>837</v>
      </c>
      <c r="D10" s="8">
        <v>303</v>
      </c>
      <c r="E10" s="8">
        <v>91</v>
      </c>
      <c r="F10" s="8">
        <v>75</v>
      </c>
      <c r="G10" s="8">
        <v>22</v>
      </c>
      <c r="H10" s="8">
        <v>16</v>
      </c>
      <c r="I10" s="8">
        <v>0</v>
      </c>
      <c r="J10" s="10">
        <f t="shared" si="0"/>
        <v>68121</v>
      </c>
      <c r="K10" s="10">
        <f t="shared" si="1"/>
        <v>8100</v>
      </c>
      <c r="L10" s="10">
        <f t="shared" si="2"/>
        <v>4761</v>
      </c>
      <c r="M10" s="8">
        <f t="shared" si="3"/>
        <v>9216</v>
      </c>
      <c r="N10" s="10">
        <f t="shared" si="4"/>
        <v>81</v>
      </c>
      <c r="O10" s="10">
        <f t="shared" si="5"/>
        <v>121</v>
      </c>
      <c r="P10" s="10">
        <f t="shared" si="6"/>
        <v>49</v>
      </c>
      <c r="Q10" s="10">
        <f t="shared" si="7"/>
        <v>121</v>
      </c>
      <c r="R10" s="10">
        <f t="shared" si="8"/>
        <v>90570</v>
      </c>
      <c r="S10" s="10">
        <f t="shared" si="9"/>
        <v>300.94850057775665</v>
      </c>
      <c r="T10" s="8">
        <v>16</v>
      </c>
      <c r="U10" s="8" t="s">
        <v>59</v>
      </c>
      <c r="V10" s="8">
        <v>19</v>
      </c>
      <c r="W10" s="8">
        <v>16</v>
      </c>
      <c r="X10" s="8">
        <v>35</v>
      </c>
    </row>
    <row r="11" spans="1:24" x14ac:dyDescent="0.25">
      <c r="A11" s="2">
        <v>2421</v>
      </c>
      <c r="B11" s="2">
        <v>1173</v>
      </c>
      <c r="C11" s="2">
        <v>347</v>
      </c>
      <c r="D11" s="2">
        <v>112</v>
      </c>
      <c r="E11" s="2">
        <v>32</v>
      </c>
      <c r="F11" s="2">
        <v>3</v>
      </c>
      <c r="G11" s="2">
        <v>4</v>
      </c>
      <c r="H11" s="2">
        <v>4</v>
      </c>
      <c r="I11" s="2">
        <v>0</v>
      </c>
      <c r="J11" s="6">
        <f t="shared" si="0"/>
        <v>576081</v>
      </c>
      <c r="K11" s="6">
        <f t="shared" si="1"/>
        <v>7744</v>
      </c>
      <c r="L11" s="6">
        <f t="shared" si="2"/>
        <v>177241</v>
      </c>
      <c r="M11" s="2">
        <f t="shared" si="3"/>
        <v>9025</v>
      </c>
      <c r="N11" s="6">
        <f t="shared" si="4"/>
        <v>4624</v>
      </c>
      <c r="O11" s="6">
        <f t="shared" si="5"/>
        <v>3721</v>
      </c>
      <c r="P11" s="6">
        <f t="shared" si="6"/>
        <v>625</v>
      </c>
      <c r="Q11" s="6">
        <f t="shared" si="7"/>
        <v>1</v>
      </c>
      <c r="R11" s="6">
        <f t="shared" si="8"/>
        <v>779062</v>
      </c>
      <c r="S11" s="6">
        <f t="shared" si="9"/>
        <v>882.64488895591523</v>
      </c>
      <c r="T11" s="2">
        <v>40</v>
      </c>
      <c r="U11" s="2" t="s">
        <v>60</v>
      </c>
      <c r="V11" s="2">
        <v>19</v>
      </c>
      <c r="W11" s="2">
        <v>16</v>
      </c>
      <c r="X11" s="2">
        <v>35</v>
      </c>
    </row>
    <row r="12" spans="1:24" x14ac:dyDescent="0.25">
      <c r="A12" s="8">
        <v>1222</v>
      </c>
      <c r="B12" s="8">
        <v>1243</v>
      </c>
      <c r="C12" s="8">
        <v>838</v>
      </c>
      <c r="D12" s="8">
        <v>450</v>
      </c>
      <c r="E12" s="8">
        <v>169</v>
      </c>
      <c r="F12" s="8">
        <v>102</v>
      </c>
      <c r="G12" s="8">
        <v>43</v>
      </c>
      <c r="H12" s="8">
        <v>29</v>
      </c>
      <c r="I12" s="8">
        <v>0</v>
      </c>
      <c r="J12" s="10">
        <f t="shared" si="0"/>
        <v>193600</v>
      </c>
      <c r="K12" s="10">
        <f t="shared" si="1"/>
        <v>324</v>
      </c>
      <c r="L12" s="10">
        <f t="shared" si="2"/>
        <v>4900</v>
      </c>
      <c r="M12" s="8">
        <f t="shared" si="3"/>
        <v>59049</v>
      </c>
      <c r="N12" s="10">
        <f t="shared" si="4"/>
        <v>4761</v>
      </c>
      <c r="O12" s="10">
        <f t="shared" si="5"/>
        <v>1444</v>
      </c>
      <c r="P12" s="10">
        <f t="shared" si="6"/>
        <v>196</v>
      </c>
      <c r="Q12" s="10">
        <f t="shared" si="7"/>
        <v>576</v>
      </c>
      <c r="R12" s="10">
        <f t="shared" si="8"/>
        <v>264850</v>
      </c>
      <c r="S12" s="10">
        <f t="shared" si="9"/>
        <v>514.63579354724254</v>
      </c>
      <c r="T12" s="8">
        <v>34</v>
      </c>
      <c r="U12" s="8" t="s">
        <v>59</v>
      </c>
      <c r="V12" s="8">
        <v>19</v>
      </c>
      <c r="W12" s="8">
        <v>16</v>
      </c>
      <c r="X12" s="8">
        <v>35</v>
      </c>
    </row>
    <row r="13" spans="1:24" x14ac:dyDescent="0.25">
      <c r="A13" s="8">
        <v>1562</v>
      </c>
      <c r="B13" s="8">
        <v>1280</v>
      </c>
      <c r="C13" s="8">
        <v>763</v>
      </c>
      <c r="D13" s="8">
        <v>269</v>
      </c>
      <c r="E13" s="8">
        <v>120</v>
      </c>
      <c r="F13" s="8">
        <v>57</v>
      </c>
      <c r="G13" s="8">
        <v>32</v>
      </c>
      <c r="H13" s="8">
        <v>13</v>
      </c>
      <c r="I13" s="8">
        <v>0</v>
      </c>
      <c r="J13" s="10">
        <f t="shared" si="0"/>
        <v>10000</v>
      </c>
      <c r="K13" s="10">
        <f t="shared" si="1"/>
        <v>361</v>
      </c>
      <c r="L13" s="10">
        <f t="shared" si="2"/>
        <v>25</v>
      </c>
      <c r="M13" s="8">
        <f t="shared" si="3"/>
        <v>3844</v>
      </c>
      <c r="N13" s="10">
        <f t="shared" si="4"/>
        <v>400</v>
      </c>
      <c r="O13" s="10">
        <f t="shared" si="5"/>
        <v>49</v>
      </c>
      <c r="P13" s="10">
        <f t="shared" si="6"/>
        <v>9</v>
      </c>
      <c r="Q13" s="10">
        <f t="shared" si="7"/>
        <v>64</v>
      </c>
      <c r="R13" s="10">
        <f t="shared" si="8"/>
        <v>14752</v>
      </c>
      <c r="S13" s="10">
        <f t="shared" si="9"/>
        <v>121.45781160551181</v>
      </c>
      <c r="T13" s="8">
        <v>1</v>
      </c>
      <c r="U13" s="8" t="s">
        <v>59</v>
      </c>
      <c r="V13" s="8">
        <v>19</v>
      </c>
      <c r="W13" s="8">
        <v>16</v>
      </c>
      <c r="X13" s="8">
        <v>35</v>
      </c>
    </row>
    <row r="14" spans="1:24" x14ac:dyDescent="0.25">
      <c r="A14" s="8">
        <v>1443</v>
      </c>
      <c r="B14" s="8">
        <v>1394</v>
      </c>
      <c r="C14" s="8">
        <v>797</v>
      </c>
      <c r="D14" s="8">
        <v>294</v>
      </c>
      <c r="E14" s="8">
        <v>104</v>
      </c>
      <c r="F14" s="8">
        <v>30</v>
      </c>
      <c r="G14" s="8">
        <v>22</v>
      </c>
      <c r="H14" s="8">
        <v>12</v>
      </c>
      <c r="I14" s="8">
        <v>0</v>
      </c>
      <c r="J14" s="10">
        <f t="shared" si="0"/>
        <v>47961</v>
      </c>
      <c r="K14" s="10">
        <f t="shared" si="1"/>
        <v>17689</v>
      </c>
      <c r="L14" s="10">
        <f t="shared" si="2"/>
        <v>841</v>
      </c>
      <c r="M14" s="8">
        <f t="shared" si="3"/>
        <v>7569</v>
      </c>
      <c r="N14" s="10">
        <f t="shared" si="4"/>
        <v>16</v>
      </c>
      <c r="O14" s="10">
        <f t="shared" si="5"/>
        <v>1156</v>
      </c>
      <c r="P14" s="10">
        <f t="shared" si="6"/>
        <v>49</v>
      </c>
      <c r="Q14" s="10">
        <f t="shared" si="7"/>
        <v>49</v>
      </c>
      <c r="R14" s="10">
        <f t="shared" si="8"/>
        <v>75330</v>
      </c>
      <c r="S14" s="10">
        <f t="shared" si="9"/>
        <v>274.46311227558431</v>
      </c>
      <c r="T14" s="8">
        <v>14</v>
      </c>
      <c r="U14" s="8" t="s">
        <v>59</v>
      </c>
      <c r="V14" s="8">
        <v>19</v>
      </c>
      <c r="W14" s="8">
        <v>16</v>
      </c>
      <c r="X14" s="8">
        <v>35</v>
      </c>
    </row>
    <row r="15" spans="1:24" x14ac:dyDescent="0.25">
      <c r="A15" s="8">
        <v>1931</v>
      </c>
      <c r="B15" s="8">
        <v>1209</v>
      </c>
      <c r="C15" s="8">
        <v>669</v>
      </c>
      <c r="D15" s="8">
        <v>176</v>
      </c>
      <c r="E15" s="8">
        <v>27</v>
      </c>
      <c r="F15" s="8">
        <v>65</v>
      </c>
      <c r="G15" s="8">
        <v>6</v>
      </c>
      <c r="H15" s="8">
        <v>13</v>
      </c>
      <c r="I15" s="8">
        <v>0</v>
      </c>
      <c r="J15" s="10">
        <f t="shared" si="0"/>
        <v>72361</v>
      </c>
      <c r="K15" s="10">
        <f t="shared" si="1"/>
        <v>2704</v>
      </c>
      <c r="L15" s="10">
        <f t="shared" si="2"/>
        <v>9801</v>
      </c>
      <c r="M15" s="8">
        <f t="shared" si="3"/>
        <v>961</v>
      </c>
      <c r="N15" s="10">
        <f t="shared" si="4"/>
        <v>5329</v>
      </c>
      <c r="O15" s="10">
        <f t="shared" si="5"/>
        <v>1</v>
      </c>
      <c r="P15" s="10">
        <f t="shared" si="6"/>
        <v>529</v>
      </c>
      <c r="Q15" s="10">
        <f t="shared" si="7"/>
        <v>64</v>
      </c>
      <c r="R15" s="10">
        <f t="shared" si="8"/>
        <v>91750</v>
      </c>
      <c r="S15" s="10">
        <f t="shared" si="9"/>
        <v>302.9026246172192</v>
      </c>
      <c r="T15" s="8">
        <v>18</v>
      </c>
      <c r="U15" s="8" t="s">
        <v>59</v>
      </c>
      <c r="V15" s="8">
        <v>19</v>
      </c>
      <c r="W15" s="8">
        <v>16</v>
      </c>
      <c r="X15" s="8">
        <v>35</v>
      </c>
    </row>
    <row r="16" spans="1:24" x14ac:dyDescent="0.25">
      <c r="A16" s="8">
        <v>1217</v>
      </c>
      <c r="B16" s="8">
        <v>1299</v>
      </c>
      <c r="C16" s="8">
        <v>908</v>
      </c>
      <c r="D16" s="8">
        <v>410</v>
      </c>
      <c r="E16" s="8">
        <v>113</v>
      </c>
      <c r="F16" s="8">
        <v>115</v>
      </c>
      <c r="G16" s="8">
        <v>27</v>
      </c>
      <c r="H16" s="8">
        <v>7</v>
      </c>
      <c r="I16" s="8">
        <v>0</v>
      </c>
      <c r="J16" s="10">
        <f t="shared" si="0"/>
        <v>198025</v>
      </c>
      <c r="K16" s="10">
        <f t="shared" si="1"/>
        <v>1444</v>
      </c>
      <c r="L16" s="10">
        <f t="shared" si="2"/>
        <v>19600</v>
      </c>
      <c r="M16" s="8">
        <f t="shared" si="3"/>
        <v>41209</v>
      </c>
      <c r="N16" s="10">
        <f t="shared" si="4"/>
        <v>169</v>
      </c>
      <c r="O16" s="10">
        <f t="shared" si="5"/>
        <v>2601</v>
      </c>
      <c r="P16" s="10">
        <f t="shared" si="6"/>
        <v>4</v>
      </c>
      <c r="Q16" s="10">
        <f t="shared" si="7"/>
        <v>4</v>
      </c>
      <c r="R16" s="10">
        <f t="shared" si="8"/>
        <v>263056</v>
      </c>
      <c r="S16" s="10">
        <f t="shared" si="9"/>
        <v>512.88985172257014</v>
      </c>
      <c r="T16" s="8">
        <v>33</v>
      </c>
      <c r="U16" s="8" t="s">
        <v>59</v>
      </c>
      <c r="V16" s="8">
        <v>19</v>
      </c>
      <c r="W16" s="8">
        <v>16</v>
      </c>
      <c r="X16" s="8">
        <v>35</v>
      </c>
    </row>
    <row r="17" spans="1:24" x14ac:dyDescent="0.25">
      <c r="A17" s="8">
        <v>1658</v>
      </c>
      <c r="B17" s="8">
        <v>1452</v>
      </c>
      <c r="C17" s="8">
        <v>628</v>
      </c>
      <c r="D17" s="8">
        <v>176</v>
      </c>
      <c r="E17" s="8">
        <v>69</v>
      </c>
      <c r="F17" s="8">
        <v>36</v>
      </c>
      <c r="G17" s="8">
        <v>41</v>
      </c>
      <c r="H17" s="8">
        <v>36</v>
      </c>
      <c r="I17" s="8">
        <v>0</v>
      </c>
      <c r="J17" s="10">
        <f t="shared" si="0"/>
        <v>16</v>
      </c>
      <c r="K17" s="10">
        <f t="shared" si="1"/>
        <v>36481</v>
      </c>
      <c r="L17" s="10">
        <f t="shared" si="2"/>
        <v>19600</v>
      </c>
      <c r="M17" s="8">
        <f t="shared" si="3"/>
        <v>961</v>
      </c>
      <c r="N17" s="10">
        <f t="shared" si="4"/>
        <v>961</v>
      </c>
      <c r="O17" s="10">
        <f t="shared" si="5"/>
        <v>784</v>
      </c>
      <c r="P17" s="10">
        <f t="shared" si="6"/>
        <v>144</v>
      </c>
      <c r="Q17" s="10">
        <f t="shared" si="7"/>
        <v>961</v>
      </c>
      <c r="R17" s="10">
        <f t="shared" si="8"/>
        <v>59908</v>
      </c>
      <c r="S17" s="10">
        <f t="shared" si="9"/>
        <v>244.76110802167898</v>
      </c>
      <c r="T17" s="8">
        <v>11</v>
      </c>
      <c r="U17" s="8" t="s">
        <v>59</v>
      </c>
      <c r="V17" s="8">
        <v>19</v>
      </c>
      <c r="W17" s="8">
        <v>16</v>
      </c>
      <c r="X17" s="8">
        <v>35</v>
      </c>
    </row>
    <row r="18" spans="1:24" x14ac:dyDescent="0.25">
      <c r="A18" s="8">
        <v>1515</v>
      </c>
      <c r="B18" s="8">
        <v>1155</v>
      </c>
      <c r="C18" s="8">
        <v>835</v>
      </c>
      <c r="D18" s="8">
        <v>369</v>
      </c>
      <c r="E18" s="8">
        <v>121</v>
      </c>
      <c r="F18" s="8">
        <v>69</v>
      </c>
      <c r="G18" s="8">
        <v>24</v>
      </c>
      <c r="H18" s="8">
        <v>8</v>
      </c>
      <c r="I18" s="8">
        <v>0</v>
      </c>
      <c r="J18" s="10">
        <f t="shared" si="0"/>
        <v>21609</v>
      </c>
      <c r="K18" s="10">
        <f t="shared" si="1"/>
        <v>11236</v>
      </c>
      <c r="L18" s="10">
        <f t="shared" si="2"/>
        <v>4489</v>
      </c>
      <c r="M18" s="8">
        <f t="shared" si="3"/>
        <v>26244</v>
      </c>
      <c r="N18" s="10">
        <f t="shared" si="4"/>
        <v>441</v>
      </c>
      <c r="O18" s="10">
        <f t="shared" si="5"/>
        <v>25</v>
      </c>
      <c r="P18" s="10">
        <f t="shared" si="6"/>
        <v>25</v>
      </c>
      <c r="Q18" s="10">
        <f t="shared" si="7"/>
        <v>9</v>
      </c>
      <c r="R18" s="10">
        <f t="shared" si="8"/>
        <v>64078</v>
      </c>
      <c r="S18" s="10">
        <f t="shared" si="9"/>
        <v>253.13632690706405</v>
      </c>
      <c r="T18" s="8">
        <v>12</v>
      </c>
      <c r="U18" s="8" t="s">
        <v>59</v>
      </c>
      <c r="V18" s="8">
        <v>19</v>
      </c>
      <c r="W18" s="8">
        <v>16</v>
      </c>
      <c r="X18" s="8">
        <v>35</v>
      </c>
    </row>
    <row r="19" spans="1:24" x14ac:dyDescent="0.25">
      <c r="A19" s="8">
        <v>1488</v>
      </c>
      <c r="B19" s="8">
        <v>1200</v>
      </c>
      <c r="C19" s="8">
        <v>824</v>
      </c>
      <c r="D19" s="8">
        <v>415</v>
      </c>
      <c r="E19" s="8">
        <v>103</v>
      </c>
      <c r="F19" s="8">
        <v>44</v>
      </c>
      <c r="G19" s="8">
        <v>17</v>
      </c>
      <c r="H19" s="8">
        <v>5</v>
      </c>
      <c r="I19" s="8">
        <v>0</v>
      </c>
      <c r="J19" s="10">
        <f t="shared" si="0"/>
        <v>30276</v>
      </c>
      <c r="K19" s="10">
        <f t="shared" si="1"/>
        <v>3721</v>
      </c>
      <c r="L19" s="10">
        <f t="shared" si="2"/>
        <v>3136</v>
      </c>
      <c r="M19" s="8">
        <f t="shared" si="3"/>
        <v>43264</v>
      </c>
      <c r="N19" s="10">
        <f t="shared" si="4"/>
        <v>9</v>
      </c>
      <c r="O19" s="10">
        <f t="shared" si="5"/>
        <v>400</v>
      </c>
      <c r="P19" s="10">
        <f t="shared" si="6"/>
        <v>144</v>
      </c>
      <c r="Q19" s="10">
        <f t="shared" si="7"/>
        <v>0</v>
      </c>
      <c r="R19" s="10">
        <f t="shared" si="8"/>
        <v>80950</v>
      </c>
      <c r="S19" s="10">
        <f t="shared" si="9"/>
        <v>284.51713480913588</v>
      </c>
      <c r="T19" s="8">
        <v>15</v>
      </c>
      <c r="U19" s="8" t="s">
        <v>59</v>
      </c>
      <c r="V19" s="8">
        <v>19</v>
      </c>
      <c r="W19" s="8">
        <v>16</v>
      </c>
      <c r="X19" s="8">
        <v>35</v>
      </c>
    </row>
    <row r="20" spans="1:24" x14ac:dyDescent="0.25">
      <c r="A20" s="8">
        <v>1497</v>
      </c>
      <c r="B20" s="8">
        <v>1241</v>
      </c>
      <c r="C20" s="8">
        <v>741</v>
      </c>
      <c r="D20" s="8">
        <v>372</v>
      </c>
      <c r="E20" s="8">
        <v>155</v>
      </c>
      <c r="F20" s="8">
        <v>52</v>
      </c>
      <c r="G20" s="8">
        <v>27</v>
      </c>
      <c r="H20" s="8">
        <v>11</v>
      </c>
      <c r="I20" s="8">
        <v>0</v>
      </c>
      <c r="J20" s="10">
        <f t="shared" si="0"/>
        <v>27225</v>
      </c>
      <c r="K20" s="10">
        <f t="shared" si="1"/>
        <v>400</v>
      </c>
      <c r="L20" s="10">
        <f t="shared" si="2"/>
        <v>729</v>
      </c>
      <c r="M20" s="8">
        <f t="shared" si="3"/>
        <v>27225</v>
      </c>
      <c r="N20" s="10">
        <f t="shared" si="4"/>
        <v>3025</v>
      </c>
      <c r="O20" s="10">
        <f t="shared" si="5"/>
        <v>144</v>
      </c>
      <c r="P20" s="10">
        <f t="shared" si="6"/>
        <v>4</v>
      </c>
      <c r="Q20" s="10">
        <f t="shared" si="7"/>
        <v>36</v>
      </c>
      <c r="R20" s="10">
        <f t="shared" si="8"/>
        <v>58788</v>
      </c>
      <c r="S20" s="10">
        <f t="shared" si="9"/>
        <v>242.462368214121</v>
      </c>
      <c r="T20" s="8">
        <v>10</v>
      </c>
      <c r="U20" s="8" t="s">
        <v>59</v>
      </c>
      <c r="V20" s="8">
        <v>19</v>
      </c>
      <c r="W20" s="8">
        <v>16</v>
      </c>
      <c r="X20" s="8">
        <v>35</v>
      </c>
    </row>
    <row r="21" spans="1:24" x14ac:dyDescent="0.25">
      <c r="A21" s="8">
        <v>1787</v>
      </c>
      <c r="B21" s="8">
        <v>1288</v>
      </c>
      <c r="C21" s="8">
        <v>586</v>
      </c>
      <c r="D21" s="8">
        <v>203</v>
      </c>
      <c r="E21" s="8">
        <v>102</v>
      </c>
      <c r="F21" s="8">
        <v>67</v>
      </c>
      <c r="G21" s="8">
        <v>58</v>
      </c>
      <c r="H21" s="8">
        <v>5</v>
      </c>
      <c r="I21" s="8">
        <v>0</v>
      </c>
      <c r="J21" s="10">
        <f t="shared" si="0"/>
        <v>15625</v>
      </c>
      <c r="K21" s="10">
        <f t="shared" si="1"/>
        <v>729</v>
      </c>
      <c r="L21" s="10">
        <f t="shared" si="2"/>
        <v>33124</v>
      </c>
      <c r="M21" s="8">
        <f t="shared" si="3"/>
        <v>16</v>
      </c>
      <c r="N21" s="10">
        <f t="shared" si="4"/>
        <v>4</v>
      </c>
      <c r="O21" s="10">
        <f t="shared" si="5"/>
        <v>9</v>
      </c>
      <c r="P21" s="10">
        <f t="shared" si="6"/>
        <v>841</v>
      </c>
      <c r="Q21" s="10">
        <f t="shared" si="7"/>
        <v>0</v>
      </c>
      <c r="R21" s="10">
        <f t="shared" si="8"/>
        <v>50348</v>
      </c>
      <c r="S21" s="10">
        <f t="shared" si="9"/>
        <v>224.38360011373379</v>
      </c>
      <c r="T21" s="8">
        <v>9</v>
      </c>
      <c r="U21" s="8" t="s">
        <v>59</v>
      </c>
      <c r="V21" s="8">
        <v>19</v>
      </c>
      <c r="W21" s="8">
        <v>16</v>
      </c>
      <c r="X21" s="8">
        <v>35</v>
      </c>
    </row>
    <row r="22" spans="1:24" x14ac:dyDescent="0.25">
      <c r="A22" s="8">
        <v>1803</v>
      </c>
      <c r="B22" s="8">
        <v>1285</v>
      </c>
      <c r="C22" s="8">
        <v>677</v>
      </c>
      <c r="D22" s="8">
        <v>237</v>
      </c>
      <c r="E22" s="8">
        <v>38</v>
      </c>
      <c r="F22" s="8">
        <v>33</v>
      </c>
      <c r="G22" s="8">
        <v>13</v>
      </c>
      <c r="H22" s="8">
        <v>10</v>
      </c>
      <c r="I22" s="8">
        <v>0</v>
      </c>
      <c r="J22" s="10">
        <f t="shared" si="0"/>
        <v>19881</v>
      </c>
      <c r="K22" s="10">
        <f t="shared" si="1"/>
        <v>576</v>
      </c>
      <c r="L22" s="10">
        <f t="shared" si="2"/>
        <v>8281</v>
      </c>
      <c r="M22" s="8">
        <f t="shared" si="3"/>
        <v>900</v>
      </c>
      <c r="N22" s="10">
        <f t="shared" si="4"/>
        <v>3844</v>
      </c>
      <c r="O22" s="10">
        <f t="shared" si="5"/>
        <v>961</v>
      </c>
      <c r="P22" s="10">
        <f t="shared" si="6"/>
        <v>256</v>
      </c>
      <c r="Q22" s="10">
        <f t="shared" si="7"/>
        <v>25</v>
      </c>
      <c r="R22" s="10">
        <f t="shared" si="8"/>
        <v>34724</v>
      </c>
      <c r="S22" s="10">
        <f t="shared" si="9"/>
        <v>186.34376834227646</v>
      </c>
      <c r="T22" s="8">
        <v>6</v>
      </c>
      <c r="U22" s="8" t="s">
        <v>59</v>
      </c>
      <c r="V22" s="8">
        <v>19</v>
      </c>
      <c r="W22" s="8">
        <v>16</v>
      </c>
      <c r="X22" s="8">
        <v>35</v>
      </c>
    </row>
    <row r="23" spans="1:24" x14ac:dyDescent="0.25">
      <c r="A23" s="2">
        <v>1192</v>
      </c>
      <c r="B23" s="2">
        <v>1307</v>
      </c>
      <c r="C23" s="2">
        <v>861</v>
      </c>
      <c r="D23" s="2">
        <v>437</v>
      </c>
      <c r="E23" s="2">
        <v>191</v>
      </c>
      <c r="F23" s="2">
        <v>60</v>
      </c>
      <c r="G23" s="2">
        <v>32</v>
      </c>
      <c r="H23" s="2">
        <v>16</v>
      </c>
      <c r="I23" s="2">
        <v>1</v>
      </c>
      <c r="J23" s="6">
        <f t="shared" si="0"/>
        <v>220900</v>
      </c>
      <c r="K23" s="6">
        <f t="shared" si="1"/>
        <v>2116</v>
      </c>
      <c r="L23" s="6">
        <f t="shared" si="2"/>
        <v>8649</v>
      </c>
      <c r="M23" s="2">
        <f t="shared" si="3"/>
        <v>52900</v>
      </c>
      <c r="N23" s="6">
        <f t="shared" si="4"/>
        <v>8281</v>
      </c>
      <c r="O23" s="6">
        <f t="shared" si="5"/>
        <v>16</v>
      </c>
      <c r="P23" s="6">
        <f t="shared" si="6"/>
        <v>9</v>
      </c>
      <c r="Q23" s="6">
        <f t="shared" si="7"/>
        <v>121</v>
      </c>
      <c r="R23" s="6">
        <f t="shared" si="8"/>
        <v>292992</v>
      </c>
      <c r="S23" s="6">
        <f t="shared" si="9"/>
        <v>541.28735436919271</v>
      </c>
      <c r="T23" s="2">
        <v>36</v>
      </c>
      <c r="U23" s="2" t="s">
        <v>60</v>
      </c>
      <c r="V23" s="2">
        <v>19</v>
      </c>
      <c r="W23" s="2">
        <v>16</v>
      </c>
      <c r="X23" s="2">
        <v>35</v>
      </c>
    </row>
    <row r="24" spans="1:24" x14ac:dyDescent="0.25">
      <c r="A24" s="2">
        <v>1003</v>
      </c>
      <c r="B24" s="2">
        <v>1154</v>
      </c>
      <c r="C24" s="2">
        <v>883</v>
      </c>
      <c r="D24" s="2">
        <v>504</v>
      </c>
      <c r="E24" s="2">
        <v>250</v>
      </c>
      <c r="F24" s="2">
        <v>169</v>
      </c>
      <c r="G24" s="2">
        <v>110</v>
      </c>
      <c r="H24" s="2">
        <v>23</v>
      </c>
      <c r="I24" s="2">
        <v>1</v>
      </c>
      <c r="J24" s="6">
        <f t="shared" si="0"/>
        <v>434281</v>
      </c>
      <c r="K24" s="6">
        <f t="shared" si="1"/>
        <v>11449</v>
      </c>
      <c r="L24" s="6">
        <f t="shared" si="2"/>
        <v>13225</v>
      </c>
      <c r="M24" s="2">
        <f t="shared" si="3"/>
        <v>88209</v>
      </c>
      <c r="N24" s="6">
        <f t="shared" si="4"/>
        <v>22500</v>
      </c>
      <c r="O24" s="6">
        <f t="shared" si="5"/>
        <v>11025</v>
      </c>
      <c r="P24" s="6">
        <f t="shared" si="6"/>
        <v>6561</v>
      </c>
      <c r="Q24" s="6">
        <f t="shared" si="7"/>
        <v>324</v>
      </c>
      <c r="R24" s="6">
        <f t="shared" si="8"/>
        <v>587574</v>
      </c>
      <c r="S24" s="6">
        <f t="shared" si="9"/>
        <v>766.53375659523306</v>
      </c>
      <c r="T24" s="2">
        <v>38</v>
      </c>
      <c r="U24" s="2" t="s">
        <v>60</v>
      </c>
      <c r="V24" s="2">
        <v>19</v>
      </c>
      <c r="W24" s="2">
        <v>16</v>
      </c>
      <c r="X24" s="2">
        <v>35</v>
      </c>
    </row>
    <row r="25" spans="1:24" x14ac:dyDescent="0.25">
      <c r="A25" s="2">
        <v>2201</v>
      </c>
      <c r="B25" s="2">
        <v>1063</v>
      </c>
      <c r="C25" s="2">
        <v>534</v>
      </c>
      <c r="D25" s="2">
        <v>175</v>
      </c>
      <c r="E25" s="2">
        <v>63</v>
      </c>
      <c r="F25" s="2">
        <v>38</v>
      </c>
      <c r="G25" s="2">
        <v>19</v>
      </c>
      <c r="H25" s="2">
        <v>3</v>
      </c>
      <c r="I25" s="2">
        <v>1</v>
      </c>
      <c r="J25" s="6">
        <f t="shared" si="0"/>
        <v>290521</v>
      </c>
      <c r="K25" s="6">
        <f t="shared" si="1"/>
        <v>39204</v>
      </c>
      <c r="L25" s="6">
        <f t="shared" si="2"/>
        <v>54756</v>
      </c>
      <c r="M25" s="2">
        <f t="shared" si="3"/>
        <v>1024</v>
      </c>
      <c r="N25" s="6">
        <f t="shared" si="4"/>
        <v>1369</v>
      </c>
      <c r="O25" s="6">
        <f t="shared" si="5"/>
        <v>676</v>
      </c>
      <c r="P25" s="6">
        <f t="shared" si="6"/>
        <v>100</v>
      </c>
      <c r="Q25" s="6">
        <f t="shared" si="7"/>
        <v>4</v>
      </c>
      <c r="R25" s="6">
        <f t="shared" si="8"/>
        <v>387654</v>
      </c>
      <c r="S25" s="6">
        <f t="shared" si="9"/>
        <v>622.61866338875518</v>
      </c>
      <c r="T25" s="2">
        <v>37</v>
      </c>
      <c r="U25" s="2" t="s">
        <v>60</v>
      </c>
      <c r="V25" s="2">
        <v>19</v>
      </c>
      <c r="W25" s="2">
        <v>16</v>
      </c>
      <c r="X25" s="2">
        <v>35</v>
      </c>
    </row>
    <row r="26" spans="1:24" x14ac:dyDescent="0.25">
      <c r="A26" s="9">
        <v>1443</v>
      </c>
      <c r="B26" s="9">
        <v>1180</v>
      </c>
      <c r="C26" s="9">
        <v>825</v>
      </c>
      <c r="D26" s="9">
        <v>441</v>
      </c>
      <c r="E26" s="9">
        <v>122</v>
      </c>
      <c r="F26" s="9">
        <v>62</v>
      </c>
      <c r="G26" s="9">
        <v>19</v>
      </c>
      <c r="H26" s="9">
        <v>4</v>
      </c>
      <c r="I26" s="9">
        <v>1</v>
      </c>
      <c r="J26" s="11">
        <f t="shared" si="0"/>
        <v>47961</v>
      </c>
      <c r="K26" s="11">
        <f t="shared" si="1"/>
        <v>6561</v>
      </c>
      <c r="L26" s="11">
        <f t="shared" si="2"/>
        <v>3249</v>
      </c>
      <c r="M26" s="9">
        <f t="shared" si="3"/>
        <v>54756</v>
      </c>
      <c r="N26" s="11">
        <f t="shared" si="4"/>
        <v>484</v>
      </c>
      <c r="O26" s="11">
        <f t="shared" si="5"/>
        <v>4</v>
      </c>
      <c r="P26" s="11">
        <f t="shared" si="6"/>
        <v>100</v>
      </c>
      <c r="Q26" s="11">
        <f t="shared" si="7"/>
        <v>1</v>
      </c>
      <c r="R26" s="11">
        <f t="shared" si="8"/>
        <v>113116</v>
      </c>
      <c r="S26" s="11">
        <f t="shared" si="9"/>
        <v>336.32722161609223</v>
      </c>
      <c r="T26" s="9">
        <v>20</v>
      </c>
      <c r="U26" s="9" t="s">
        <v>59</v>
      </c>
      <c r="V26" s="9">
        <v>19</v>
      </c>
      <c r="W26" s="9">
        <v>16</v>
      </c>
      <c r="X26" s="9">
        <v>35</v>
      </c>
    </row>
    <row r="27" spans="1:24" x14ac:dyDescent="0.25">
      <c r="A27" s="9">
        <v>1415</v>
      </c>
      <c r="B27" s="9">
        <v>1163</v>
      </c>
      <c r="C27" s="9">
        <v>696</v>
      </c>
      <c r="D27" s="9">
        <v>400</v>
      </c>
      <c r="E27" s="9">
        <v>191</v>
      </c>
      <c r="F27" s="9">
        <v>129</v>
      </c>
      <c r="G27" s="9">
        <v>75</v>
      </c>
      <c r="H27" s="9">
        <v>27</v>
      </c>
      <c r="I27" s="9">
        <v>1</v>
      </c>
      <c r="J27" s="11">
        <f t="shared" si="0"/>
        <v>61009</v>
      </c>
      <c r="K27" s="11">
        <f t="shared" si="1"/>
        <v>9604</v>
      </c>
      <c r="L27" s="11">
        <f t="shared" si="2"/>
        <v>5184</v>
      </c>
      <c r="M27" s="9">
        <f t="shared" si="3"/>
        <v>37249</v>
      </c>
      <c r="N27" s="11">
        <f t="shared" si="4"/>
        <v>8281</v>
      </c>
      <c r="O27" s="11">
        <f t="shared" si="5"/>
        <v>4225</v>
      </c>
      <c r="P27" s="11">
        <f t="shared" si="6"/>
        <v>2116</v>
      </c>
      <c r="Q27" s="11">
        <f t="shared" si="7"/>
        <v>484</v>
      </c>
      <c r="R27" s="11">
        <f t="shared" si="8"/>
        <v>128152</v>
      </c>
      <c r="S27" s="11">
        <f t="shared" si="9"/>
        <v>357.98323983114068</v>
      </c>
      <c r="T27" s="9">
        <v>23</v>
      </c>
      <c r="U27" s="9" t="s">
        <v>59</v>
      </c>
      <c r="V27" s="9">
        <v>19</v>
      </c>
      <c r="W27" s="9">
        <v>16</v>
      </c>
      <c r="X27" s="9">
        <v>35</v>
      </c>
    </row>
    <row r="28" spans="1:24" x14ac:dyDescent="0.25">
      <c r="A28" s="9">
        <v>1333</v>
      </c>
      <c r="B28" s="9">
        <v>1086</v>
      </c>
      <c r="C28" s="9">
        <v>848</v>
      </c>
      <c r="D28" s="9">
        <v>463</v>
      </c>
      <c r="E28" s="9">
        <v>208</v>
      </c>
      <c r="F28" s="9">
        <v>101</v>
      </c>
      <c r="G28" s="9">
        <v>40</v>
      </c>
      <c r="H28" s="9">
        <v>17</v>
      </c>
      <c r="I28" s="9">
        <v>1</v>
      </c>
      <c r="J28" s="11">
        <f t="shared" si="0"/>
        <v>108241</v>
      </c>
      <c r="K28" s="11">
        <f t="shared" si="1"/>
        <v>30625</v>
      </c>
      <c r="L28" s="11">
        <f t="shared" si="2"/>
        <v>6400</v>
      </c>
      <c r="M28" s="9">
        <f t="shared" si="3"/>
        <v>65536</v>
      </c>
      <c r="N28" s="11">
        <f t="shared" si="4"/>
        <v>11664</v>
      </c>
      <c r="O28" s="11">
        <f t="shared" si="5"/>
        <v>1369</v>
      </c>
      <c r="P28" s="11">
        <f t="shared" si="6"/>
        <v>121</v>
      </c>
      <c r="Q28" s="11">
        <f t="shared" si="7"/>
        <v>144</v>
      </c>
      <c r="R28" s="11">
        <f t="shared" si="8"/>
        <v>224100</v>
      </c>
      <c r="S28" s="11">
        <f t="shared" si="9"/>
        <v>473.39201514178501</v>
      </c>
      <c r="T28" s="9">
        <v>29</v>
      </c>
      <c r="U28" s="9" t="s">
        <v>59</v>
      </c>
      <c r="V28" s="9">
        <v>19</v>
      </c>
      <c r="W28" s="9">
        <v>16</v>
      </c>
      <c r="X28" s="9">
        <v>35</v>
      </c>
    </row>
    <row r="29" spans="1:24" x14ac:dyDescent="0.25">
      <c r="A29" s="9">
        <v>1728</v>
      </c>
      <c r="B29" s="9">
        <v>1039</v>
      </c>
      <c r="C29" s="9">
        <v>755</v>
      </c>
      <c r="D29" s="9">
        <v>317</v>
      </c>
      <c r="E29" s="9">
        <v>140</v>
      </c>
      <c r="F29" s="9">
        <v>67</v>
      </c>
      <c r="G29" s="9">
        <v>33</v>
      </c>
      <c r="H29" s="9">
        <v>17</v>
      </c>
      <c r="I29" s="9">
        <v>1</v>
      </c>
      <c r="J29" s="11">
        <f t="shared" si="0"/>
        <v>4356</v>
      </c>
      <c r="K29" s="11">
        <f t="shared" si="1"/>
        <v>49284</v>
      </c>
      <c r="L29" s="11">
        <f t="shared" si="2"/>
        <v>169</v>
      </c>
      <c r="M29" s="9">
        <f t="shared" si="3"/>
        <v>12100</v>
      </c>
      <c r="N29" s="11">
        <f t="shared" si="4"/>
        <v>1600</v>
      </c>
      <c r="O29" s="11">
        <f t="shared" si="5"/>
        <v>9</v>
      </c>
      <c r="P29" s="11">
        <f t="shared" si="6"/>
        <v>16</v>
      </c>
      <c r="Q29" s="11">
        <f t="shared" si="7"/>
        <v>144</v>
      </c>
      <c r="R29" s="11">
        <f t="shared" si="8"/>
        <v>67678</v>
      </c>
      <c r="S29" s="11">
        <f t="shared" si="9"/>
        <v>260.14995675571424</v>
      </c>
      <c r="T29" s="9">
        <v>13</v>
      </c>
      <c r="U29" s="9" t="s">
        <v>59</v>
      </c>
      <c r="V29" s="9">
        <v>19</v>
      </c>
      <c r="W29" s="9">
        <v>16</v>
      </c>
      <c r="X29" s="9">
        <v>35</v>
      </c>
    </row>
    <row r="30" spans="1:24" x14ac:dyDescent="0.25">
      <c r="A30" s="9">
        <v>1706</v>
      </c>
      <c r="B30" s="9">
        <v>1162</v>
      </c>
      <c r="C30" s="9">
        <v>646</v>
      </c>
      <c r="D30" s="9">
        <v>324</v>
      </c>
      <c r="E30" s="9">
        <v>151</v>
      </c>
      <c r="F30" s="9">
        <v>59</v>
      </c>
      <c r="G30" s="9">
        <v>19</v>
      </c>
      <c r="H30" s="9">
        <v>29</v>
      </c>
      <c r="I30" s="9">
        <v>1</v>
      </c>
      <c r="J30" s="11">
        <f t="shared" si="0"/>
        <v>1936</v>
      </c>
      <c r="K30" s="11">
        <f t="shared" si="1"/>
        <v>9801</v>
      </c>
      <c r="L30" s="11">
        <f t="shared" si="2"/>
        <v>14884</v>
      </c>
      <c r="M30" s="9">
        <f t="shared" si="3"/>
        <v>13689</v>
      </c>
      <c r="N30" s="11">
        <f t="shared" si="4"/>
        <v>2601</v>
      </c>
      <c r="O30" s="11">
        <f t="shared" si="5"/>
        <v>25</v>
      </c>
      <c r="P30" s="11">
        <f t="shared" si="6"/>
        <v>100</v>
      </c>
      <c r="Q30" s="11">
        <f t="shared" si="7"/>
        <v>576</v>
      </c>
      <c r="R30" s="11">
        <f t="shared" si="8"/>
        <v>43612</v>
      </c>
      <c r="S30" s="11">
        <f t="shared" si="9"/>
        <v>208.83486298987532</v>
      </c>
      <c r="T30" s="9">
        <v>7</v>
      </c>
      <c r="U30" s="9" t="s">
        <v>59</v>
      </c>
      <c r="V30" s="9">
        <v>19</v>
      </c>
      <c r="W30" s="9">
        <v>16</v>
      </c>
      <c r="X30" s="9">
        <v>35</v>
      </c>
    </row>
    <row r="31" spans="1:24" x14ac:dyDescent="0.25">
      <c r="A31" s="9">
        <v>1531</v>
      </c>
      <c r="B31" s="9">
        <v>1241</v>
      </c>
      <c r="C31" s="9">
        <v>698</v>
      </c>
      <c r="D31" s="9">
        <v>339</v>
      </c>
      <c r="E31" s="9">
        <v>171</v>
      </c>
      <c r="F31" s="9">
        <v>75</v>
      </c>
      <c r="G31" s="9">
        <v>16</v>
      </c>
      <c r="H31" s="9">
        <v>25</v>
      </c>
      <c r="I31" s="9">
        <v>1</v>
      </c>
      <c r="J31" s="11">
        <f t="shared" si="0"/>
        <v>17161</v>
      </c>
      <c r="K31" s="11">
        <f t="shared" si="1"/>
        <v>400</v>
      </c>
      <c r="L31" s="11">
        <f t="shared" si="2"/>
        <v>4900</v>
      </c>
      <c r="M31" s="9">
        <f t="shared" si="3"/>
        <v>17424</v>
      </c>
      <c r="N31" s="11">
        <f t="shared" si="4"/>
        <v>5041</v>
      </c>
      <c r="O31" s="11">
        <f t="shared" si="5"/>
        <v>121</v>
      </c>
      <c r="P31" s="11">
        <f t="shared" si="6"/>
        <v>169</v>
      </c>
      <c r="Q31" s="11">
        <f t="shared" si="7"/>
        <v>400</v>
      </c>
      <c r="R31" s="11">
        <f t="shared" si="8"/>
        <v>45616</v>
      </c>
      <c r="S31" s="11">
        <f t="shared" si="9"/>
        <v>213.57902518739991</v>
      </c>
      <c r="T31" s="9">
        <v>8</v>
      </c>
      <c r="U31" s="9" t="s">
        <v>59</v>
      </c>
      <c r="V31" s="9">
        <v>19</v>
      </c>
      <c r="W31" s="9">
        <v>16</v>
      </c>
      <c r="X31" s="9">
        <v>35</v>
      </c>
    </row>
    <row r="32" spans="1:24" x14ac:dyDescent="0.25">
      <c r="A32" s="9">
        <v>1905</v>
      </c>
      <c r="B32" s="9">
        <v>1105</v>
      </c>
      <c r="C32" s="9">
        <v>585</v>
      </c>
      <c r="D32" s="9">
        <v>216</v>
      </c>
      <c r="E32" s="9">
        <v>153</v>
      </c>
      <c r="F32" s="9">
        <v>87</v>
      </c>
      <c r="G32" s="9">
        <v>38</v>
      </c>
      <c r="H32" s="9">
        <v>7</v>
      </c>
      <c r="I32" s="9">
        <v>1</v>
      </c>
      <c r="J32" s="11">
        <f t="shared" si="0"/>
        <v>59049</v>
      </c>
      <c r="K32" s="11">
        <f t="shared" si="1"/>
        <v>24336</v>
      </c>
      <c r="L32" s="11">
        <f t="shared" si="2"/>
        <v>33489</v>
      </c>
      <c r="M32" s="9">
        <f t="shared" si="3"/>
        <v>81</v>
      </c>
      <c r="N32" s="11">
        <f t="shared" si="4"/>
        <v>2809</v>
      </c>
      <c r="O32" s="11">
        <f t="shared" si="5"/>
        <v>529</v>
      </c>
      <c r="P32" s="11">
        <f t="shared" si="6"/>
        <v>81</v>
      </c>
      <c r="Q32" s="11">
        <f t="shared" si="7"/>
        <v>4</v>
      </c>
      <c r="R32" s="11">
        <f t="shared" si="8"/>
        <v>120378</v>
      </c>
      <c r="S32" s="11">
        <f t="shared" si="9"/>
        <v>346.95532853668641</v>
      </c>
      <c r="T32" s="9">
        <v>21</v>
      </c>
      <c r="U32" s="9" t="s">
        <v>59</v>
      </c>
      <c r="V32" s="9">
        <v>19</v>
      </c>
      <c r="W32" s="9">
        <v>16</v>
      </c>
      <c r="X32" s="9">
        <v>35</v>
      </c>
    </row>
    <row r="33" spans="1:24" x14ac:dyDescent="0.25">
      <c r="A33" s="9">
        <v>1594</v>
      </c>
      <c r="B33" s="9">
        <v>1211</v>
      </c>
      <c r="C33" s="9">
        <v>752</v>
      </c>
      <c r="D33" s="9">
        <v>356</v>
      </c>
      <c r="E33" s="9">
        <v>100</v>
      </c>
      <c r="F33" s="9">
        <v>53</v>
      </c>
      <c r="G33" s="9">
        <v>16</v>
      </c>
      <c r="H33" s="9">
        <v>14</v>
      </c>
      <c r="I33" s="9">
        <v>1</v>
      </c>
      <c r="J33" s="11">
        <f t="shared" si="0"/>
        <v>4624</v>
      </c>
      <c r="K33" s="11">
        <f t="shared" si="1"/>
        <v>2500</v>
      </c>
      <c r="L33" s="11">
        <f t="shared" si="2"/>
        <v>256</v>
      </c>
      <c r="M33" s="9">
        <f t="shared" si="3"/>
        <v>22201</v>
      </c>
      <c r="N33" s="11">
        <f t="shared" si="4"/>
        <v>0</v>
      </c>
      <c r="O33" s="11">
        <f t="shared" si="5"/>
        <v>121</v>
      </c>
      <c r="P33" s="11">
        <f t="shared" si="6"/>
        <v>169</v>
      </c>
      <c r="Q33" s="11">
        <f t="shared" si="7"/>
        <v>81</v>
      </c>
      <c r="R33" s="11">
        <f t="shared" si="8"/>
        <v>29952</v>
      </c>
      <c r="S33" s="11">
        <f t="shared" si="9"/>
        <v>173.0664612222715</v>
      </c>
      <c r="T33" s="9">
        <v>5</v>
      </c>
      <c r="U33" s="9" t="s">
        <v>59</v>
      </c>
      <c r="V33" s="9">
        <v>19</v>
      </c>
      <c r="W33" s="9">
        <v>16</v>
      </c>
      <c r="X33" s="9">
        <v>35</v>
      </c>
    </row>
    <row r="34" spans="1:24" x14ac:dyDescent="0.25">
      <c r="A34" s="9">
        <v>1807</v>
      </c>
      <c r="B34" s="9">
        <v>1089</v>
      </c>
      <c r="C34" s="9">
        <v>627</v>
      </c>
      <c r="D34" s="9">
        <v>342</v>
      </c>
      <c r="E34" s="9">
        <v>146</v>
      </c>
      <c r="F34" s="9">
        <v>53</v>
      </c>
      <c r="G34" s="9">
        <v>23</v>
      </c>
      <c r="H34" s="9">
        <v>9</v>
      </c>
      <c r="I34" s="9">
        <v>1</v>
      </c>
      <c r="J34" s="11">
        <f t="shared" si="0"/>
        <v>21025</v>
      </c>
      <c r="K34" s="11">
        <f t="shared" si="1"/>
        <v>29584</v>
      </c>
      <c r="L34" s="11">
        <f t="shared" si="2"/>
        <v>19881</v>
      </c>
      <c r="M34" s="9">
        <f t="shared" si="3"/>
        <v>18225</v>
      </c>
      <c r="N34" s="11">
        <f t="shared" si="4"/>
        <v>2116</v>
      </c>
      <c r="O34" s="11">
        <f t="shared" si="5"/>
        <v>121</v>
      </c>
      <c r="P34" s="11">
        <f t="shared" si="6"/>
        <v>36</v>
      </c>
      <c r="Q34" s="11">
        <f t="shared" si="7"/>
        <v>16</v>
      </c>
      <c r="R34" s="11">
        <f t="shared" si="8"/>
        <v>91004</v>
      </c>
      <c r="S34" s="11">
        <f t="shared" si="9"/>
        <v>301.66869244255361</v>
      </c>
      <c r="T34" s="9">
        <v>17</v>
      </c>
      <c r="U34" s="9" t="s">
        <v>59</v>
      </c>
      <c r="V34" s="9">
        <v>19</v>
      </c>
      <c r="W34" s="9">
        <v>16</v>
      </c>
      <c r="X34" s="9">
        <v>35</v>
      </c>
    </row>
    <row r="35" spans="1:24" x14ac:dyDescent="0.25">
      <c r="A35" s="9">
        <v>1419</v>
      </c>
      <c r="B35" s="9">
        <v>1165</v>
      </c>
      <c r="C35" s="9">
        <v>870</v>
      </c>
      <c r="D35" s="9">
        <v>327</v>
      </c>
      <c r="E35" s="9">
        <v>178</v>
      </c>
      <c r="F35" s="9">
        <v>91</v>
      </c>
      <c r="G35" s="9">
        <v>37</v>
      </c>
      <c r="H35" s="9">
        <v>9</v>
      </c>
      <c r="I35" s="9">
        <v>1</v>
      </c>
      <c r="J35" s="11">
        <f t="shared" si="0"/>
        <v>59049</v>
      </c>
      <c r="K35" s="11">
        <f t="shared" si="1"/>
        <v>9216</v>
      </c>
      <c r="L35" s="11">
        <f t="shared" si="2"/>
        <v>10404</v>
      </c>
      <c r="M35" s="9">
        <f t="shared" si="3"/>
        <v>14400</v>
      </c>
      <c r="N35" s="11">
        <f t="shared" si="4"/>
        <v>6084</v>
      </c>
      <c r="O35" s="11">
        <f t="shared" si="5"/>
        <v>729</v>
      </c>
      <c r="P35" s="11">
        <f t="shared" si="6"/>
        <v>64</v>
      </c>
      <c r="Q35" s="11">
        <f t="shared" si="7"/>
        <v>16</v>
      </c>
      <c r="R35" s="11">
        <f t="shared" si="8"/>
        <v>99962</v>
      </c>
      <c r="S35" s="11">
        <f t="shared" si="9"/>
        <v>316.1676770322988</v>
      </c>
      <c r="T35" s="9">
        <v>19</v>
      </c>
      <c r="U35" s="9" t="s">
        <v>59</v>
      </c>
      <c r="V35" s="9">
        <v>19</v>
      </c>
      <c r="W35" s="9">
        <v>16</v>
      </c>
      <c r="X35" s="9">
        <v>35</v>
      </c>
    </row>
    <row r="36" spans="1:24" x14ac:dyDescent="0.25">
      <c r="A36" s="9">
        <v>1987</v>
      </c>
      <c r="B36" s="9">
        <v>1148</v>
      </c>
      <c r="C36" s="9">
        <v>470</v>
      </c>
      <c r="D36" s="9">
        <v>236</v>
      </c>
      <c r="E36" s="9">
        <v>137</v>
      </c>
      <c r="F36" s="9">
        <v>69</v>
      </c>
      <c r="G36" s="9">
        <v>36</v>
      </c>
      <c r="H36" s="9">
        <v>13</v>
      </c>
      <c r="I36" s="9">
        <v>1</v>
      </c>
      <c r="J36" s="11">
        <f t="shared" si="0"/>
        <v>105625</v>
      </c>
      <c r="K36" s="11">
        <f t="shared" si="1"/>
        <v>12769</v>
      </c>
      <c r="L36" s="11">
        <f t="shared" si="2"/>
        <v>88804</v>
      </c>
      <c r="M36" s="9">
        <f t="shared" si="3"/>
        <v>841</v>
      </c>
      <c r="N36" s="11">
        <f t="shared" si="4"/>
        <v>1369</v>
      </c>
      <c r="O36" s="11">
        <f t="shared" si="5"/>
        <v>25</v>
      </c>
      <c r="P36" s="11">
        <f t="shared" si="6"/>
        <v>49</v>
      </c>
      <c r="Q36" s="11">
        <f t="shared" si="7"/>
        <v>64</v>
      </c>
      <c r="R36" s="11">
        <f t="shared" si="8"/>
        <v>209546</v>
      </c>
      <c r="S36" s="11">
        <f t="shared" si="9"/>
        <v>457.76194686758311</v>
      </c>
      <c r="T36" s="9">
        <v>26</v>
      </c>
      <c r="U36" s="9" t="s">
        <v>59</v>
      </c>
      <c r="V36" s="9">
        <v>19</v>
      </c>
      <c r="W36" s="9">
        <v>16</v>
      </c>
      <c r="X36" s="9">
        <v>35</v>
      </c>
    </row>
    <row r="37" spans="1:24" x14ac:dyDescent="0.25">
      <c r="A37" s="9">
        <v>1276</v>
      </c>
      <c r="B37" s="9">
        <v>1494</v>
      </c>
      <c r="C37" s="9">
        <v>839</v>
      </c>
      <c r="D37" s="9">
        <v>282</v>
      </c>
      <c r="E37" s="9">
        <v>90</v>
      </c>
      <c r="F37" s="9">
        <v>73</v>
      </c>
      <c r="G37" s="9">
        <v>28</v>
      </c>
      <c r="H37" s="9">
        <v>14</v>
      </c>
      <c r="I37" s="9">
        <v>1</v>
      </c>
      <c r="J37" s="11">
        <f t="shared" si="0"/>
        <v>148996</v>
      </c>
      <c r="K37" s="11">
        <f t="shared" si="1"/>
        <v>54289</v>
      </c>
      <c r="L37" s="11">
        <f t="shared" si="2"/>
        <v>5041</v>
      </c>
      <c r="M37" s="9">
        <f t="shared" si="3"/>
        <v>5625</v>
      </c>
      <c r="N37" s="11">
        <f t="shared" si="4"/>
        <v>100</v>
      </c>
      <c r="O37" s="11">
        <f t="shared" si="5"/>
        <v>81</v>
      </c>
      <c r="P37" s="11">
        <f t="shared" si="6"/>
        <v>1</v>
      </c>
      <c r="Q37" s="11">
        <f t="shared" si="7"/>
        <v>81</v>
      </c>
      <c r="R37" s="11">
        <f t="shared" si="8"/>
        <v>214214</v>
      </c>
      <c r="S37" s="11">
        <f t="shared" si="9"/>
        <v>462.83258312266651</v>
      </c>
      <c r="T37" s="9">
        <v>27</v>
      </c>
      <c r="U37" s="9" t="s">
        <v>59</v>
      </c>
      <c r="V37" s="9">
        <v>19</v>
      </c>
      <c r="W37" s="9">
        <v>16</v>
      </c>
      <c r="X37" s="9">
        <v>35</v>
      </c>
    </row>
    <row r="38" spans="1:24" x14ac:dyDescent="0.25">
      <c r="A38" s="9">
        <v>1414</v>
      </c>
      <c r="B38" s="9">
        <v>1020</v>
      </c>
      <c r="C38" s="9">
        <v>748</v>
      </c>
      <c r="D38" s="9">
        <v>510</v>
      </c>
      <c r="E38" s="9">
        <v>201</v>
      </c>
      <c r="F38" s="9">
        <v>113</v>
      </c>
      <c r="G38" s="9">
        <v>67</v>
      </c>
      <c r="H38" s="9">
        <v>23</v>
      </c>
      <c r="I38" s="9">
        <v>1</v>
      </c>
      <c r="J38" s="11">
        <f t="shared" si="0"/>
        <v>61504</v>
      </c>
      <c r="K38" s="11">
        <f t="shared" si="1"/>
        <v>58081</v>
      </c>
      <c r="L38" s="11">
        <f t="shared" si="2"/>
        <v>400</v>
      </c>
      <c r="M38" s="9">
        <f t="shared" si="3"/>
        <v>91809</v>
      </c>
      <c r="N38" s="11">
        <f t="shared" si="4"/>
        <v>10201</v>
      </c>
      <c r="O38" s="11">
        <f t="shared" si="5"/>
        <v>2401</v>
      </c>
      <c r="P38" s="11">
        <f t="shared" si="6"/>
        <v>1444</v>
      </c>
      <c r="Q38" s="11">
        <f t="shared" si="7"/>
        <v>324</v>
      </c>
      <c r="R38" s="11">
        <f t="shared" si="8"/>
        <v>226164</v>
      </c>
      <c r="S38" s="11">
        <f t="shared" si="9"/>
        <v>475.56702997579634</v>
      </c>
      <c r="T38" s="9">
        <v>30</v>
      </c>
      <c r="U38" s="9" t="s">
        <v>59</v>
      </c>
      <c r="V38" s="9">
        <v>19</v>
      </c>
      <c r="W38" s="9">
        <v>16</v>
      </c>
      <c r="X38" s="9">
        <v>35</v>
      </c>
    </row>
    <row r="39" spans="1:24" x14ac:dyDescent="0.25">
      <c r="A39" s="2">
        <v>2326</v>
      </c>
      <c r="B39" s="2">
        <v>984</v>
      </c>
      <c r="C39" s="2">
        <v>379</v>
      </c>
      <c r="D39" s="2">
        <v>247</v>
      </c>
      <c r="E39" s="2">
        <v>96</v>
      </c>
      <c r="F39" s="2">
        <v>34</v>
      </c>
      <c r="G39" s="2">
        <v>20</v>
      </c>
      <c r="H39" s="2">
        <v>10</v>
      </c>
      <c r="I39" s="2">
        <v>1</v>
      </c>
      <c r="J39" s="7">
        <f t="shared" si="0"/>
        <v>440896</v>
      </c>
      <c r="K39" s="7">
        <f t="shared" si="1"/>
        <v>76729</v>
      </c>
      <c r="L39" s="7">
        <f t="shared" si="2"/>
        <v>151321</v>
      </c>
      <c r="M39" s="2">
        <f t="shared" si="3"/>
        <v>1600</v>
      </c>
      <c r="N39" s="7">
        <f t="shared" si="4"/>
        <v>16</v>
      </c>
      <c r="O39" s="7">
        <f t="shared" si="5"/>
        <v>900</v>
      </c>
      <c r="P39" s="7">
        <f t="shared" si="6"/>
        <v>81</v>
      </c>
      <c r="Q39" s="7">
        <f t="shared" si="7"/>
        <v>25</v>
      </c>
      <c r="R39" s="7">
        <f t="shared" si="8"/>
        <v>671568</v>
      </c>
      <c r="S39" s="7">
        <f t="shared" si="9"/>
        <v>819.49252589636228</v>
      </c>
      <c r="T39" s="2">
        <v>39</v>
      </c>
      <c r="U39" s="2" t="s">
        <v>60</v>
      </c>
      <c r="V39" s="2">
        <v>19</v>
      </c>
      <c r="W39" s="2">
        <v>16</v>
      </c>
      <c r="X39" s="2">
        <v>35</v>
      </c>
    </row>
    <row r="40" spans="1:24" x14ac:dyDescent="0.25">
      <c r="A40" s="9">
        <v>2023</v>
      </c>
      <c r="B40" s="9">
        <v>1100</v>
      </c>
      <c r="C40" s="9">
        <v>508</v>
      </c>
      <c r="D40" s="9">
        <v>297</v>
      </c>
      <c r="E40" s="9">
        <v>76</v>
      </c>
      <c r="F40" s="9">
        <v>44</v>
      </c>
      <c r="G40" s="9">
        <v>31</v>
      </c>
      <c r="H40" s="9">
        <v>17</v>
      </c>
      <c r="I40" s="9">
        <v>1</v>
      </c>
      <c r="J40" s="11">
        <f t="shared" si="0"/>
        <v>130321</v>
      </c>
      <c r="K40" s="11">
        <f t="shared" si="1"/>
        <v>25921</v>
      </c>
      <c r="L40" s="11">
        <f t="shared" si="2"/>
        <v>67600</v>
      </c>
      <c r="M40" s="9">
        <f t="shared" si="3"/>
        <v>8100</v>
      </c>
      <c r="N40" s="11">
        <f t="shared" si="4"/>
        <v>576</v>
      </c>
      <c r="O40" s="11">
        <f t="shared" si="5"/>
        <v>400</v>
      </c>
      <c r="P40" s="11">
        <f t="shared" si="6"/>
        <v>4</v>
      </c>
      <c r="Q40" s="11">
        <f t="shared" si="7"/>
        <v>144</v>
      </c>
      <c r="R40" s="11">
        <f t="shared" si="8"/>
        <v>233066</v>
      </c>
      <c r="S40" s="11">
        <f t="shared" si="9"/>
        <v>482.76909594546333</v>
      </c>
      <c r="T40" s="9">
        <v>31</v>
      </c>
      <c r="U40" s="9" t="s">
        <v>59</v>
      </c>
      <c r="V40" s="9">
        <v>19</v>
      </c>
      <c r="W40" s="9">
        <v>16</v>
      </c>
      <c r="X40" s="9">
        <v>35</v>
      </c>
    </row>
    <row r="41" spans="1:24" x14ac:dyDescent="0.25">
      <c r="A41" s="9">
        <v>1926</v>
      </c>
      <c r="B41" s="9">
        <v>1137</v>
      </c>
      <c r="C41" s="9">
        <v>594</v>
      </c>
      <c r="D41" s="9">
        <v>307</v>
      </c>
      <c r="E41" s="9">
        <v>76</v>
      </c>
      <c r="F41" s="9">
        <v>34</v>
      </c>
      <c r="G41" s="9">
        <v>18</v>
      </c>
      <c r="H41" s="9">
        <v>4</v>
      </c>
      <c r="I41" s="9">
        <v>1</v>
      </c>
      <c r="J41" s="11">
        <f t="shared" si="0"/>
        <v>69696</v>
      </c>
      <c r="K41" s="11">
        <f t="shared" si="1"/>
        <v>15376</v>
      </c>
      <c r="L41" s="11">
        <f t="shared" si="2"/>
        <v>30276</v>
      </c>
      <c r="M41" s="9">
        <f t="shared" si="3"/>
        <v>10000</v>
      </c>
      <c r="N41" s="11">
        <f t="shared" si="4"/>
        <v>576</v>
      </c>
      <c r="O41" s="11">
        <f t="shared" si="5"/>
        <v>900</v>
      </c>
      <c r="P41" s="11">
        <f t="shared" si="6"/>
        <v>121</v>
      </c>
      <c r="Q41" s="11">
        <f t="shared" si="7"/>
        <v>1</v>
      </c>
      <c r="R41" s="11">
        <f t="shared" si="8"/>
        <v>126946</v>
      </c>
      <c r="S41" s="11">
        <f t="shared" si="9"/>
        <v>356.29482174177048</v>
      </c>
      <c r="T41" s="9">
        <v>22</v>
      </c>
      <c r="U41" s="9" t="s">
        <v>59</v>
      </c>
      <c r="V41" s="9">
        <v>19</v>
      </c>
      <c r="W41" s="9">
        <v>16</v>
      </c>
      <c r="X41" s="9">
        <v>35</v>
      </c>
    </row>
    <row r="42" spans="1:24" x14ac:dyDescent="0.25">
      <c r="A42" s="9">
        <v>1479</v>
      </c>
      <c r="B42" s="9">
        <v>1035</v>
      </c>
      <c r="C42" s="9">
        <v>841</v>
      </c>
      <c r="D42" s="9">
        <v>451</v>
      </c>
      <c r="E42" s="9">
        <v>197</v>
      </c>
      <c r="F42" s="9">
        <v>65</v>
      </c>
      <c r="G42" s="9">
        <v>18</v>
      </c>
      <c r="H42" s="9">
        <v>10</v>
      </c>
      <c r="I42" s="9">
        <v>1</v>
      </c>
      <c r="J42" s="11">
        <f t="shared" si="0"/>
        <v>33489</v>
      </c>
      <c r="K42" s="11">
        <f t="shared" si="1"/>
        <v>51076</v>
      </c>
      <c r="L42" s="11">
        <f t="shared" si="2"/>
        <v>5329</v>
      </c>
      <c r="M42" s="9">
        <f t="shared" si="3"/>
        <v>59536</v>
      </c>
      <c r="N42" s="11">
        <f t="shared" si="4"/>
        <v>9409</v>
      </c>
      <c r="O42" s="11">
        <f t="shared" si="5"/>
        <v>1</v>
      </c>
      <c r="P42" s="11">
        <f t="shared" si="6"/>
        <v>121</v>
      </c>
      <c r="Q42" s="11">
        <f t="shared" si="7"/>
        <v>25</v>
      </c>
      <c r="R42" s="11">
        <f t="shared" si="8"/>
        <v>158986</v>
      </c>
      <c r="S42" s="11">
        <f t="shared" si="9"/>
        <v>398.73048541590094</v>
      </c>
      <c r="T42" s="9">
        <v>25</v>
      </c>
      <c r="U42" s="9" t="s">
        <v>59</v>
      </c>
      <c r="V42" s="9">
        <v>19</v>
      </c>
      <c r="W42" s="9">
        <v>16</v>
      </c>
      <c r="X42" s="9">
        <v>35</v>
      </c>
    </row>
    <row r="43" spans="1:24" x14ac:dyDescent="0.25">
      <c r="A43" t="s">
        <v>22</v>
      </c>
    </row>
    <row r="44" spans="1:24" x14ac:dyDescent="0.25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7</v>
      </c>
      <c r="I44" s="5" t="s">
        <v>8</v>
      </c>
    </row>
    <row r="45" spans="1:24" x14ac:dyDescent="0.25">
      <c r="A45" s="2">
        <v>1662</v>
      </c>
      <c r="B45" s="2">
        <v>1261</v>
      </c>
      <c r="C45" s="2">
        <v>768</v>
      </c>
      <c r="D45" s="2">
        <v>207</v>
      </c>
      <c r="E45" s="2">
        <v>100</v>
      </c>
      <c r="F45" s="2">
        <v>64</v>
      </c>
      <c r="G45" s="2">
        <v>29</v>
      </c>
      <c r="H45" s="2">
        <v>5</v>
      </c>
      <c r="I45" s="3">
        <v>0</v>
      </c>
    </row>
    <row r="46" spans="1:24" x14ac:dyDescent="0.25">
      <c r="A46" s="2">
        <v>1662</v>
      </c>
      <c r="B46" s="2">
        <v>1261</v>
      </c>
      <c r="C46" s="2">
        <v>768</v>
      </c>
      <c r="D46" s="2">
        <v>207</v>
      </c>
      <c r="E46" s="2">
        <v>100</v>
      </c>
      <c r="F46" s="2">
        <v>64</v>
      </c>
      <c r="G46" s="2">
        <v>29</v>
      </c>
      <c r="H46" s="2">
        <v>5</v>
      </c>
      <c r="I46" s="3">
        <v>0</v>
      </c>
    </row>
    <row r="47" spans="1:24" x14ac:dyDescent="0.25">
      <c r="A47" s="2">
        <v>1662</v>
      </c>
      <c r="B47" s="2">
        <v>1261</v>
      </c>
      <c r="C47" s="2">
        <v>768</v>
      </c>
      <c r="D47" s="2">
        <v>207</v>
      </c>
      <c r="E47" s="2">
        <v>100</v>
      </c>
      <c r="F47" s="2">
        <v>64</v>
      </c>
      <c r="G47" s="2">
        <v>29</v>
      </c>
      <c r="H47" s="2">
        <v>5</v>
      </c>
      <c r="I47" s="3">
        <v>0</v>
      </c>
    </row>
    <row r="48" spans="1:24" x14ac:dyDescent="0.25">
      <c r="A48" s="2">
        <v>1662</v>
      </c>
      <c r="B48" s="2">
        <v>1261</v>
      </c>
      <c r="C48" s="2">
        <v>768</v>
      </c>
      <c r="D48" s="2">
        <v>207</v>
      </c>
      <c r="E48" s="2">
        <v>100</v>
      </c>
      <c r="F48" s="2">
        <v>64</v>
      </c>
      <c r="G48" s="2">
        <v>29</v>
      </c>
      <c r="H48" s="2">
        <v>5</v>
      </c>
      <c r="I48" s="3">
        <v>0</v>
      </c>
    </row>
    <row r="49" spans="1:9" x14ac:dyDescent="0.25">
      <c r="A49" s="2">
        <v>1662</v>
      </c>
      <c r="B49" s="2">
        <v>1261</v>
      </c>
      <c r="C49" s="2">
        <v>768</v>
      </c>
      <c r="D49" s="2">
        <v>207</v>
      </c>
      <c r="E49" s="2">
        <v>100</v>
      </c>
      <c r="F49" s="2">
        <v>64</v>
      </c>
      <c r="G49" s="2">
        <v>29</v>
      </c>
      <c r="H49" s="2">
        <v>5</v>
      </c>
      <c r="I49" s="3">
        <v>0</v>
      </c>
    </row>
    <row r="50" spans="1:9" x14ac:dyDescent="0.25">
      <c r="A50" s="2">
        <v>1662</v>
      </c>
      <c r="B50" s="2">
        <v>1261</v>
      </c>
      <c r="C50" s="2">
        <v>768</v>
      </c>
      <c r="D50" s="2">
        <v>207</v>
      </c>
      <c r="E50" s="2">
        <v>100</v>
      </c>
      <c r="F50" s="2">
        <v>64</v>
      </c>
      <c r="G50" s="2">
        <v>29</v>
      </c>
      <c r="H50" s="2">
        <v>5</v>
      </c>
      <c r="I50" s="3">
        <v>0</v>
      </c>
    </row>
    <row r="51" spans="1:9" x14ac:dyDescent="0.25">
      <c r="A51" s="2">
        <v>1662</v>
      </c>
      <c r="B51" s="2">
        <v>1261</v>
      </c>
      <c r="C51" s="2">
        <v>768</v>
      </c>
      <c r="D51" s="2">
        <v>207</v>
      </c>
      <c r="E51" s="2">
        <v>100</v>
      </c>
      <c r="F51" s="2">
        <v>64</v>
      </c>
      <c r="G51" s="2">
        <v>29</v>
      </c>
      <c r="H51" s="2">
        <v>5</v>
      </c>
      <c r="I51" s="3">
        <v>0</v>
      </c>
    </row>
    <row r="52" spans="1:9" x14ac:dyDescent="0.25">
      <c r="A52" s="2">
        <v>1662</v>
      </c>
      <c r="B52" s="2">
        <v>1261</v>
      </c>
      <c r="C52" s="2">
        <v>768</v>
      </c>
      <c r="D52" s="2">
        <v>207</v>
      </c>
      <c r="E52" s="2">
        <v>100</v>
      </c>
      <c r="F52" s="2">
        <v>64</v>
      </c>
      <c r="G52" s="2">
        <v>29</v>
      </c>
      <c r="H52" s="2">
        <v>5</v>
      </c>
      <c r="I52" s="3">
        <v>0</v>
      </c>
    </row>
    <row r="53" spans="1:9" x14ac:dyDescent="0.25">
      <c r="A53" s="2">
        <v>1662</v>
      </c>
      <c r="B53" s="2">
        <v>1261</v>
      </c>
      <c r="C53" s="2">
        <v>768</v>
      </c>
      <c r="D53" s="2">
        <v>207</v>
      </c>
      <c r="E53" s="2">
        <v>100</v>
      </c>
      <c r="F53" s="2">
        <v>64</v>
      </c>
      <c r="G53" s="2">
        <v>29</v>
      </c>
      <c r="H53" s="2">
        <v>5</v>
      </c>
      <c r="I53" s="3">
        <v>0</v>
      </c>
    </row>
    <row r="54" spans="1:9" x14ac:dyDescent="0.25">
      <c r="A54" s="2">
        <v>1662</v>
      </c>
      <c r="B54" s="2">
        <v>1261</v>
      </c>
      <c r="C54" s="2">
        <v>768</v>
      </c>
      <c r="D54" s="2">
        <v>207</v>
      </c>
      <c r="E54" s="2">
        <v>100</v>
      </c>
      <c r="F54" s="2">
        <v>64</v>
      </c>
      <c r="G54" s="2">
        <v>29</v>
      </c>
      <c r="H54" s="2">
        <v>5</v>
      </c>
      <c r="I54" s="3">
        <v>0</v>
      </c>
    </row>
    <row r="55" spans="1:9" x14ac:dyDescent="0.25">
      <c r="A55" s="2">
        <v>1662</v>
      </c>
      <c r="B55" s="2">
        <v>1261</v>
      </c>
      <c r="C55" s="2">
        <v>768</v>
      </c>
      <c r="D55" s="2">
        <v>207</v>
      </c>
      <c r="E55" s="2">
        <v>100</v>
      </c>
      <c r="F55" s="2">
        <v>64</v>
      </c>
      <c r="G55" s="2">
        <v>29</v>
      </c>
      <c r="H55" s="2">
        <v>5</v>
      </c>
      <c r="I55" s="3">
        <v>0</v>
      </c>
    </row>
    <row r="56" spans="1:9" x14ac:dyDescent="0.25">
      <c r="A56" s="2">
        <v>1662</v>
      </c>
      <c r="B56" s="2">
        <v>1261</v>
      </c>
      <c r="C56" s="2">
        <v>768</v>
      </c>
      <c r="D56" s="2">
        <v>207</v>
      </c>
      <c r="E56" s="2">
        <v>100</v>
      </c>
      <c r="F56" s="2">
        <v>64</v>
      </c>
      <c r="G56" s="2">
        <v>29</v>
      </c>
      <c r="H56" s="2">
        <v>5</v>
      </c>
      <c r="I56" s="3">
        <v>0</v>
      </c>
    </row>
    <row r="57" spans="1:9" x14ac:dyDescent="0.25">
      <c r="A57" s="2">
        <v>1662</v>
      </c>
      <c r="B57" s="2">
        <v>1261</v>
      </c>
      <c r="C57" s="2">
        <v>768</v>
      </c>
      <c r="D57" s="2">
        <v>207</v>
      </c>
      <c r="E57" s="2">
        <v>100</v>
      </c>
      <c r="F57" s="2">
        <v>64</v>
      </c>
      <c r="G57" s="2">
        <v>29</v>
      </c>
      <c r="H57" s="2">
        <v>5</v>
      </c>
      <c r="I57" s="3">
        <v>0</v>
      </c>
    </row>
    <row r="58" spans="1:9" x14ac:dyDescent="0.25">
      <c r="A58" s="2">
        <v>1662</v>
      </c>
      <c r="B58" s="2">
        <v>1261</v>
      </c>
      <c r="C58" s="2">
        <v>768</v>
      </c>
      <c r="D58" s="2">
        <v>207</v>
      </c>
      <c r="E58" s="2">
        <v>100</v>
      </c>
      <c r="F58" s="2">
        <v>64</v>
      </c>
      <c r="G58" s="2">
        <v>29</v>
      </c>
      <c r="H58" s="2">
        <v>5</v>
      </c>
      <c r="I58" s="3">
        <v>0</v>
      </c>
    </row>
    <row r="59" spans="1:9" x14ac:dyDescent="0.25">
      <c r="A59" s="2">
        <v>1662</v>
      </c>
      <c r="B59" s="2">
        <v>1261</v>
      </c>
      <c r="C59" s="2">
        <v>768</v>
      </c>
      <c r="D59" s="2">
        <v>207</v>
      </c>
      <c r="E59" s="2">
        <v>100</v>
      </c>
      <c r="F59" s="2">
        <v>64</v>
      </c>
      <c r="G59" s="2">
        <v>29</v>
      </c>
      <c r="H59" s="2">
        <v>5</v>
      </c>
      <c r="I59" s="3">
        <v>0</v>
      </c>
    </row>
    <row r="60" spans="1:9" x14ac:dyDescent="0.25">
      <c r="A60" s="2">
        <v>1662</v>
      </c>
      <c r="B60" s="2">
        <v>1261</v>
      </c>
      <c r="C60" s="2">
        <v>768</v>
      </c>
      <c r="D60" s="2">
        <v>207</v>
      </c>
      <c r="E60" s="2">
        <v>100</v>
      </c>
      <c r="F60" s="2">
        <v>64</v>
      </c>
      <c r="G60" s="2">
        <v>29</v>
      </c>
      <c r="H60" s="2">
        <v>5</v>
      </c>
      <c r="I60" s="3">
        <v>0</v>
      </c>
    </row>
    <row r="61" spans="1:9" x14ac:dyDescent="0.25">
      <c r="A61" s="2">
        <v>1662</v>
      </c>
      <c r="B61" s="2">
        <v>1261</v>
      </c>
      <c r="C61" s="2">
        <v>768</v>
      </c>
      <c r="D61" s="2">
        <v>207</v>
      </c>
      <c r="E61" s="2">
        <v>100</v>
      </c>
      <c r="F61" s="2">
        <v>64</v>
      </c>
      <c r="G61" s="2">
        <v>29</v>
      </c>
      <c r="H61" s="2">
        <v>5</v>
      </c>
      <c r="I61" s="3">
        <v>0</v>
      </c>
    </row>
    <row r="62" spans="1:9" x14ac:dyDescent="0.25">
      <c r="A62" s="2">
        <v>1662</v>
      </c>
      <c r="B62" s="2">
        <v>1261</v>
      </c>
      <c r="C62" s="2">
        <v>768</v>
      </c>
      <c r="D62" s="2">
        <v>207</v>
      </c>
      <c r="E62" s="2">
        <v>100</v>
      </c>
      <c r="F62" s="2">
        <v>64</v>
      </c>
      <c r="G62" s="2">
        <v>29</v>
      </c>
      <c r="H62" s="2">
        <v>5</v>
      </c>
      <c r="I62" s="3">
        <v>0</v>
      </c>
    </row>
    <row r="63" spans="1:9" x14ac:dyDescent="0.25">
      <c r="A63" s="2">
        <v>1662</v>
      </c>
      <c r="B63" s="2">
        <v>1261</v>
      </c>
      <c r="C63" s="2">
        <v>768</v>
      </c>
      <c r="D63" s="2">
        <v>207</v>
      </c>
      <c r="E63" s="2">
        <v>100</v>
      </c>
      <c r="F63" s="2">
        <v>64</v>
      </c>
      <c r="G63" s="2">
        <v>29</v>
      </c>
      <c r="H63" s="2">
        <v>5</v>
      </c>
      <c r="I63" s="3">
        <v>0</v>
      </c>
    </row>
    <row r="64" spans="1:9" x14ac:dyDescent="0.25">
      <c r="A64" s="2">
        <v>1662</v>
      </c>
      <c r="B64" s="2">
        <v>1261</v>
      </c>
      <c r="C64" s="2">
        <v>768</v>
      </c>
      <c r="D64" s="2">
        <v>207</v>
      </c>
      <c r="E64" s="2">
        <v>100</v>
      </c>
      <c r="F64" s="2">
        <v>64</v>
      </c>
      <c r="G64" s="2">
        <v>29</v>
      </c>
      <c r="H64" s="2">
        <v>5</v>
      </c>
      <c r="I64" s="3">
        <v>0</v>
      </c>
    </row>
    <row r="65" spans="1:9" x14ac:dyDescent="0.25">
      <c r="A65" s="2">
        <v>1662</v>
      </c>
      <c r="B65" s="2">
        <v>1261</v>
      </c>
      <c r="C65" s="2">
        <v>768</v>
      </c>
      <c r="D65" s="2">
        <v>207</v>
      </c>
      <c r="E65" s="2">
        <v>100</v>
      </c>
      <c r="F65" s="2">
        <v>64</v>
      </c>
      <c r="G65" s="2">
        <v>29</v>
      </c>
      <c r="H65" s="2">
        <v>5</v>
      </c>
      <c r="I65" s="3">
        <v>0</v>
      </c>
    </row>
    <row r="66" spans="1:9" x14ac:dyDescent="0.25">
      <c r="A66" s="2">
        <v>1662</v>
      </c>
      <c r="B66" s="2">
        <v>1261</v>
      </c>
      <c r="C66" s="2">
        <v>768</v>
      </c>
      <c r="D66" s="2">
        <v>207</v>
      </c>
      <c r="E66" s="2">
        <v>100</v>
      </c>
      <c r="F66" s="2">
        <v>64</v>
      </c>
      <c r="G66" s="2">
        <v>29</v>
      </c>
      <c r="H66" s="2">
        <v>5</v>
      </c>
      <c r="I66" s="3">
        <v>0</v>
      </c>
    </row>
    <row r="67" spans="1:9" x14ac:dyDescent="0.25">
      <c r="A67" s="2">
        <v>1662</v>
      </c>
      <c r="B67" s="2">
        <v>1261</v>
      </c>
      <c r="C67" s="2">
        <v>768</v>
      </c>
      <c r="D67" s="2">
        <v>207</v>
      </c>
      <c r="E67" s="2">
        <v>100</v>
      </c>
      <c r="F67" s="2">
        <v>64</v>
      </c>
      <c r="G67" s="2">
        <v>29</v>
      </c>
      <c r="H67" s="2">
        <v>5</v>
      </c>
      <c r="I67" s="3">
        <v>0</v>
      </c>
    </row>
    <row r="68" spans="1:9" x14ac:dyDescent="0.25">
      <c r="A68" s="2">
        <v>1662</v>
      </c>
      <c r="B68" s="2">
        <v>1261</v>
      </c>
      <c r="C68" s="2">
        <v>768</v>
      </c>
      <c r="D68" s="2">
        <v>207</v>
      </c>
      <c r="E68" s="2">
        <v>100</v>
      </c>
      <c r="F68" s="2">
        <v>64</v>
      </c>
      <c r="G68" s="2">
        <v>29</v>
      </c>
      <c r="H68" s="2">
        <v>5</v>
      </c>
      <c r="I68" s="3">
        <v>0</v>
      </c>
    </row>
    <row r="69" spans="1:9" x14ac:dyDescent="0.25">
      <c r="A69" s="2">
        <v>1662</v>
      </c>
      <c r="B69" s="2">
        <v>1261</v>
      </c>
      <c r="C69" s="2">
        <v>768</v>
      </c>
      <c r="D69" s="2">
        <v>207</v>
      </c>
      <c r="E69" s="2">
        <v>100</v>
      </c>
      <c r="F69" s="2">
        <v>64</v>
      </c>
      <c r="G69" s="2">
        <v>29</v>
      </c>
      <c r="H69" s="2">
        <v>5</v>
      </c>
      <c r="I69" s="3">
        <v>0</v>
      </c>
    </row>
    <row r="70" spans="1:9" x14ac:dyDescent="0.25">
      <c r="A70" s="2">
        <v>1662</v>
      </c>
      <c r="B70" s="2">
        <v>1261</v>
      </c>
      <c r="C70" s="2">
        <v>768</v>
      </c>
      <c r="D70" s="2">
        <v>207</v>
      </c>
      <c r="E70" s="2">
        <v>100</v>
      </c>
      <c r="F70" s="2">
        <v>64</v>
      </c>
      <c r="G70" s="2">
        <v>29</v>
      </c>
      <c r="H70" s="2">
        <v>5</v>
      </c>
      <c r="I70" s="3">
        <v>0</v>
      </c>
    </row>
    <row r="71" spans="1:9" x14ac:dyDescent="0.25">
      <c r="A71" s="2">
        <v>1662</v>
      </c>
      <c r="B71" s="2">
        <v>1261</v>
      </c>
      <c r="C71" s="2">
        <v>768</v>
      </c>
      <c r="D71" s="2">
        <v>207</v>
      </c>
      <c r="E71" s="2">
        <v>100</v>
      </c>
      <c r="F71" s="2">
        <v>64</v>
      </c>
      <c r="G71" s="2">
        <v>29</v>
      </c>
      <c r="H71" s="2">
        <v>5</v>
      </c>
      <c r="I71" s="3">
        <v>0</v>
      </c>
    </row>
    <row r="72" spans="1:9" x14ac:dyDescent="0.25">
      <c r="A72" s="2">
        <v>1662</v>
      </c>
      <c r="B72" s="2">
        <v>1261</v>
      </c>
      <c r="C72" s="2">
        <v>768</v>
      </c>
      <c r="D72" s="2">
        <v>207</v>
      </c>
      <c r="E72" s="2">
        <v>100</v>
      </c>
      <c r="F72" s="2">
        <v>64</v>
      </c>
      <c r="G72" s="2">
        <v>29</v>
      </c>
      <c r="H72" s="2">
        <v>5</v>
      </c>
      <c r="I72" s="3">
        <v>0</v>
      </c>
    </row>
    <row r="73" spans="1:9" x14ac:dyDescent="0.25">
      <c r="A73" s="2">
        <v>1662</v>
      </c>
      <c r="B73" s="2">
        <v>1261</v>
      </c>
      <c r="C73" s="2">
        <v>768</v>
      </c>
      <c r="D73" s="2">
        <v>207</v>
      </c>
      <c r="E73" s="2">
        <v>100</v>
      </c>
      <c r="F73" s="2">
        <v>64</v>
      </c>
      <c r="G73" s="2">
        <v>29</v>
      </c>
      <c r="H73" s="2">
        <v>5</v>
      </c>
      <c r="I73" s="3">
        <v>0</v>
      </c>
    </row>
    <row r="74" spans="1:9" x14ac:dyDescent="0.25">
      <c r="A74" s="2">
        <v>1662</v>
      </c>
      <c r="B74" s="2">
        <v>1261</v>
      </c>
      <c r="C74" s="2">
        <v>768</v>
      </c>
      <c r="D74" s="2">
        <v>207</v>
      </c>
      <c r="E74" s="2">
        <v>100</v>
      </c>
      <c r="F74" s="2">
        <v>64</v>
      </c>
      <c r="G74" s="2">
        <v>29</v>
      </c>
      <c r="H74" s="2">
        <v>5</v>
      </c>
      <c r="I74" s="3">
        <v>0</v>
      </c>
    </row>
    <row r="75" spans="1:9" x14ac:dyDescent="0.25">
      <c r="A75" s="2">
        <v>1662</v>
      </c>
      <c r="B75" s="2">
        <v>1261</v>
      </c>
      <c r="C75" s="2">
        <v>768</v>
      </c>
      <c r="D75" s="2">
        <v>207</v>
      </c>
      <c r="E75" s="2">
        <v>100</v>
      </c>
      <c r="F75" s="2">
        <v>64</v>
      </c>
      <c r="G75" s="2">
        <v>29</v>
      </c>
      <c r="H75" s="2">
        <v>5</v>
      </c>
      <c r="I75" s="3">
        <v>0</v>
      </c>
    </row>
    <row r="76" spans="1:9" x14ac:dyDescent="0.25">
      <c r="A76" s="2">
        <v>1662</v>
      </c>
      <c r="B76" s="2">
        <v>1261</v>
      </c>
      <c r="C76" s="2">
        <v>768</v>
      </c>
      <c r="D76" s="2">
        <v>207</v>
      </c>
      <c r="E76" s="2">
        <v>100</v>
      </c>
      <c r="F76" s="2">
        <v>64</v>
      </c>
      <c r="G76" s="2">
        <v>29</v>
      </c>
      <c r="H76" s="2">
        <v>5</v>
      </c>
      <c r="I76" s="3">
        <v>0</v>
      </c>
    </row>
    <row r="77" spans="1:9" x14ac:dyDescent="0.25">
      <c r="A77" s="2">
        <v>1662</v>
      </c>
      <c r="B77" s="2">
        <v>1261</v>
      </c>
      <c r="C77" s="2">
        <v>768</v>
      </c>
      <c r="D77" s="2">
        <v>207</v>
      </c>
      <c r="E77" s="2">
        <v>100</v>
      </c>
      <c r="F77" s="2">
        <v>64</v>
      </c>
      <c r="G77" s="2">
        <v>29</v>
      </c>
      <c r="H77" s="2">
        <v>5</v>
      </c>
      <c r="I77" s="3">
        <v>0</v>
      </c>
    </row>
    <row r="78" spans="1:9" x14ac:dyDescent="0.25">
      <c r="A78" s="2">
        <v>1662</v>
      </c>
      <c r="B78" s="2">
        <v>1261</v>
      </c>
      <c r="C78" s="2">
        <v>768</v>
      </c>
      <c r="D78" s="2">
        <v>207</v>
      </c>
      <c r="E78" s="2">
        <v>100</v>
      </c>
      <c r="F78" s="2">
        <v>64</v>
      </c>
      <c r="G78" s="2">
        <v>29</v>
      </c>
      <c r="H78" s="2">
        <v>5</v>
      </c>
      <c r="I78" s="3">
        <v>0</v>
      </c>
    </row>
    <row r="79" spans="1:9" x14ac:dyDescent="0.25">
      <c r="A79" s="2">
        <v>1662</v>
      </c>
      <c r="B79" s="2">
        <v>1261</v>
      </c>
      <c r="C79" s="2">
        <v>768</v>
      </c>
      <c r="D79" s="2">
        <v>207</v>
      </c>
      <c r="E79" s="2">
        <v>100</v>
      </c>
      <c r="F79" s="2">
        <v>64</v>
      </c>
      <c r="G79" s="2">
        <v>29</v>
      </c>
      <c r="H79" s="2">
        <v>5</v>
      </c>
      <c r="I79" s="3">
        <v>0</v>
      </c>
    </row>
    <row r="80" spans="1:9" x14ac:dyDescent="0.25">
      <c r="A80" s="2">
        <v>1662</v>
      </c>
      <c r="B80" s="2">
        <v>1261</v>
      </c>
      <c r="C80" s="2">
        <v>768</v>
      </c>
      <c r="D80" s="2">
        <v>207</v>
      </c>
      <c r="E80" s="2">
        <v>100</v>
      </c>
      <c r="F80" s="2">
        <v>64</v>
      </c>
      <c r="G80" s="2">
        <v>29</v>
      </c>
      <c r="H80" s="2">
        <v>5</v>
      </c>
      <c r="I80" s="3">
        <v>0</v>
      </c>
    </row>
    <row r="81" spans="1:9" x14ac:dyDescent="0.25">
      <c r="A81" s="2">
        <v>1662</v>
      </c>
      <c r="B81" s="2">
        <v>1261</v>
      </c>
      <c r="C81" s="2">
        <v>768</v>
      </c>
      <c r="D81" s="2">
        <v>207</v>
      </c>
      <c r="E81" s="2">
        <v>100</v>
      </c>
      <c r="F81" s="2">
        <v>64</v>
      </c>
      <c r="G81" s="2">
        <v>29</v>
      </c>
      <c r="H81" s="2">
        <v>5</v>
      </c>
      <c r="I81" s="3">
        <v>0</v>
      </c>
    </row>
    <row r="82" spans="1:9" x14ac:dyDescent="0.25">
      <c r="A82" s="2">
        <v>1662</v>
      </c>
      <c r="B82" s="2">
        <v>1261</v>
      </c>
      <c r="C82" s="2">
        <v>768</v>
      </c>
      <c r="D82" s="2">
        <v>207</v>
      </c>
      <c r="E82" s="2">
        <v>100</v>
      </c>
      <c r="F82" s="2">
        <v>64</v>
      </c>
      <c r="G82" s="2">
        <v>29</v>
      </c>
      <c r="H82" s="2">
        <v>5</v>
      </c>
      <c r="I82" s="3">
        <v>0</v>
      </c>
    </row>
    <row r="83" spans="1:9" x14ac:dyDescent="0.25">
      <c r="A83" s="2">
        <v>1662</v>
      </c>
      <c r="B83" s="2">
        <v>1261</v>
      </c>
      <c r="C83" s="2">
        <v>768</v>
      </c>
      <c r="D83" s="2">
        <v>207</v>
      </c>
      <c r="E83" s="2">
        <v>100</v>
      </c>
      <c r="F83" s="2">
        <v>64</v>
      </c>
      <c r="G83" s="2">
        <v>29</v>
      </c>
      <c r="H83" s="2">
        <v>5</v>
      </c>
      <c r="I83" s="3">
        <v>0</v>
      </c>
    </row>
    <row r="84" spans="1:9" x14ac:dyDescent="0.25">
      <c r="A84" s="2">
        <v>1662</v>
      </c>
      <c r="B84" s="2">
        <v>1261</v>
      </c>
      <c r="C84" s="2">
        <v>768</v>
      </c>
      <c r="D84" s="2">
        <v>207</v>
      </c>
      <c r="E84" s="2">
        <v>100</v>
      </c>
      <c r="F84" s="2">
        <v>64</v>
      </c>
      <c r="G84" s="2">
        <v>29</v>
      </c>
      <c r="H84" s="2">
        <v>5</v>
      </c>
      <c r="I8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E3E6-3F41-440C-9972-BFF853233641}">
  <dimension ref="A1:X84"/>
  <sheetViews>
    <sheetView zoomScale="70" zoomScaleNormal="70" workbookViewId="0">
      <selection activeCell="K2" sqref="K2"/>
    </sheetView>
  </sheetViews>
  <sheetFormatPr defaultRowHeight="15" x14ac:dyDescent="0.25"/>
  <cols>
    <col min="10" max="10" width="13.140625" bestFit="1" customWidth="1"/>
    <col min="11" max="11" width="14" bestFit="1" customWidth="1"/>
    <col min="12" max="12" width="13.140625" bestFit="1" customWidth="1"/>
    <col min="13" max="13" width="11.140625" bestFit="1" customWidth="1"/>
    <col min="14" max="14" width="13.140625" bestFit="1" customWidth="1"/>
    <col min="15" max="15" width="14.42578125" bestFit="1" customWidth="1"/>
    <col min="16" max="16" width="13.5703125" bestFit="1" customWidth="1"/>
    <col min="17" max="18" width="14.42578125" bestFit="1" customWidth="1"/>
    <col min="20" max="20" width="10.28515625" bestFit="1" customWidth="1"/>
    <col min="21" max="21" width="7.42578125" customWidth="1"/>
    <col min="22" max="22" width="5.5703125" customWidth="1"/>
    <col min="23" max="23" width="5" customWidth="1"/>
    <col min="24" max="24" width="3.85546875" bestFit="1" customWidth="1"/>
  </cols>
  <sheetData>
    <row r="1" spans="1:24" x14ac:dyDescent="0.25">
      <c r="A1" t="s">
        <v>21</v>
      </c>
      <c r="J1" s="1"/>
      <c r="K1" s="1"/>
      <c r="L1" s="1"/>
    </row>
    <row r="2" spans="1:24" x14ac:dyDescent="0.25">
      <c r="A2" s="13" t="s">
        <v>43</v>
      </c>
      <c r="B2" s="13" t="s">
        <v>44</v>
      </c>
      <c r="C2" s="13" t="s">
        <v>45</v>
      </c>
      <c r="D2" s="13" t="s">
        <v>46</v>
      </c>
      <c r="E2" s="13" t="s">
        <v>47</v>
      </c>
      <c r="F2" s="13" t="s">
        <v>48</v>
      </c>
      <c r="G2" s="13" t="s">
        <v>49</v>
      </c>
      <c r="H2" s="13" t="s">
        <v>50</v>
      </c>
      <c r="I2" s="13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13" t="s">
        <v>9</v>
      </c>
      <c r="U2" s="13" t="s">
        <v>55</v>
      </c>
      <c r="V2" s="13" t="s">
        <v>56</v>
      </c>
      <c r="W2" s="13" t="s">
        <v>57</v>
      </c>
      <c r="X2" s="13" t="s">
        <v>58</v>
      </c>
    </row>
    <row r="3" spans="1:24" x14ac:dyDescent="0.25">
      <c r="A3" s="8">
        <v>561</v>
      </c>
      <c r="B3" s="8">
        <v>440</v>
      </c>
      <c r="C3" s="8">
        <v>1312</v>
      </c>
      <c r="D3" s="8">
        <v>1374</v>
      </c>
      <c r="E3" s="8">
        <v>3255</v>
      </c>
      <c r="F3" s="8">
        <v>3275</v>
      </c>
      <c r="G3" s="8">
        <v>3255</v>
      </c>
      <c r="H3" s="8">
        <v>2912</v>
      </c>
      <c r="I3" s="8">
        <v>0</v>
      </c>
      <c r="J3" s="10">
        <f t="shared" ref="J3:Q18" si="0">SUMSQ(A3-A45)</f>
        <v>4225</v>
      </c>
      <c r="K3" s="10">
        <f t="shared" si="0"/>
        <v>31684</v>
      </c>
      <c r="L3" s="10">
        <f t="shared" si="0"/>
        <v>228484</v>
      </c>
      <c r="M3" s="8">
        <f t="shared" si="0"/>
        <v>360000</v>
      </c>
      <c r="N3" s="10">
        <f t="shared" si="0"/>
        <v>283024</v>
      </c>
      <c r="O3" s="10">
        <f t="shared" si="0"/>
        <v>4892944</v>
      </c>
      <c r="P3" s="10">
        <f t="shared" si="0"/>
        <v>2401</v>
      </c>
      <c r="Q3" s="10">
        <f t="shared" si="0"/>
        <v>6574096</v>
      </c>
      <c r="R3" s="10">
        <f>SUM(J3:Q3)</f>
        <v>12376858</v>
      </c>
      <c r="S3" s="10">
        <f>SQRT(R3)</f>
        <v>3518.075894576466</v>
      </c>
      <c r="T3" s="8">
        <v>8</v>
      </c>
      <c r="U3" s="8" t="s">
        <v>59</v>
      </c>
      <c r="V3" s="8">
        <v>16</v>
      </c>
      <c r="W3" s="8">
        <v>19</v>
      </c>
      <c r="X3" s="8">
        <v>35</v>
      </c>
    </row>
    <row r="4" spans="1:24" x14ac:dyDescent="0.25">
      <c r="A4" s="8">
        <v>237</v>
      </c>
      <c r="B4" s="8">
        <v>974</v>
      </c>
      <c r="C4" s="8">
        <v>1461</v>
      </c>
      <c r="D4" s="8">
        <v>1207</v>
      </c>
      <c r="E4" s="8">
        <v>2389</v>
      </c>
      <c r="F4" s="8">
        <v>2499</v>
      </c>
      <c r="G4" s="8">
        <v>5225</v>
      </c>
      <c r="H4" s="8">
        <v>2392</v>
      </c>
      <c r="I4" s="8">
        <v>0</v>
      </c>
      <c r="J4" s="10">
        <f t="shared" si="0"/>
        <v>67081</v>
      </c>
      <c r="K4" s="10">
        <f t="shared" si="0"/>
        <v>506944</v>
      </c>
      <c r="L4" s="10">
        <f t="shared" si="0"/>
        <v>108241</v>
      </c>
      <c r="M4" s="8">
        <f t="shared" si="0"/>
        <v>588289</v>
      </c>
      <c r="N4" s="10">
        <f t="shared" si="0"/>
        <v>111556</v>
      </c>
      <c r="O4" s="10">
        <f t="shared" si="0"/>
        <v>8928144</v>
      </c>
      <c r="P4" s="10">
        <f t="shared" si="0"/>
        <v>3690241</v>
      </c>
      <c r="Q4" s="10">
        <f t="shared" si="0"/>
        <v>4177936</v>
      </c>
      <c r="R4" s="10">
        <f t="shared" ref="R4:R42" si="1">SUM(J4:Q4)</f>
        <v>18178432</v>
      </c>
      <c r="S4" s="10">
        <f t="shared" ref="S4:S42" si="2">SQRT(R4)</f>
        <v>4263.6172436089992</v>
      </c>
      <c r="T4" s="8">
        <v>18</v>
      </c>
      <c r="U4" s="8" t="s">
        <v>59</v>
      </c>
      <c r="V4" s="8">
        <v>16</v>
      </c>
      <c r="W4" s="8">
        <v>19</v>
      </c>
      <c r="X4" s="8">
        <v>35</v>
      </c>
    </row>
    <row r="5" spans="1:24" x14ac:dyDescent="0.25">
      <c r="A5" s="8">
        <v>1</v>
      </c>
      <c r="B5" s="8">
        <v>522</v>
      </c>
      <c r="C5" s="8">
        <v>1152</v>
      </c>
      <c r="D5" s="8">
        <v>630</v>
      </c>
      <c r="E5" s="8">
        <v>1440</v>
      </c>
      <c r="F5" s="8">
        <v>5153</v>
      </c>
      <c r="G5" s="8">
        <v>7094</v>
      </c>
      <c r="H5" s="8">
        <v>392</v>
      </c>
      <c r="I5" s="8">
        <v>0</v>
      </c>
      <c r="J5" s="10">
        <f t="shared" si="0"/>
        <v>245025</v>
      </c>
      <c r="K5" s="10">
        <f t="shared" si="0"/>
        <v>67600</v>
      </c>
      <c r="L5" s="10">
        <f t="shared" si="0"/>
        <v>407044</v>
      </c>
      <c r="M5" s="8">
        <f t="shared" si="0"/>
        <v>1806336</v>
      </c>
      <c r="N5" s="10">
        <f t="shared" si="0"/>
        <v>1646089</v>
      </c>
      <c r="O5" s="10">
        <f t="shared" si="0"/>
        <v>111556</v>
      </c>
      <c r="P5" s="10">
        <f t="shared" si="0"/>
        <v>14364100</v>
      </c>
      <c r="Q5" s="10">
        <f t="shared" si="0"/>
        <v>1936</v>
      </c>
      <c r="R5" s="10">
        <f t="shared" si="1"/>
        <v>18649686</v>
      </c>
      <c r="S5" s="10">
        <f t="shared" si="2"/>
        <v>4318.5282215125098</v>
      </c>
      <c r="T5" s="8">
        <v>20</v>
      </c>
      <c r="U5" s="8" t="s">
        <v>59</v>
      </c>
      <c r="V5" s="8">
        <v>16</v>
      </c>
      <c r="W5" s="8">
        <v>19</v>
      </c>
      <c r="X5" s="8">
        <v>35</v>
      </c>
    </row>
    <row r="6" spans="1:24" x14ac:dyDescent="0.25">
      <c r="A6" s="8">
        <v>606</v>
      </c>
      <c r="B6" s="8">
        <v>897</v>
      </c>
      <c r="C6" s="8">
        <v>121</v>
      </c>
      <c r="D6" s="8">
        <v>1085</v>
      </c>
      <c r="E6" s="8">
        <v>1608</v>
      </c>
      <c r="F6" s="8">
        <v>3357</v>
      </c>
      <c r="G6" s="8">
        <v>4848</v>
      </c>
      <c r="H6" s="8">
        <v>3862</v>
      </c>
      <c r="I6" s="8">
        <v>0</v>
      </c>
      <c r="J6" s="10">
        <f t="shared" si="0"/>
        <v>12100</v>
      </c>
      <c r="K6" s="10">
        <f t="shared" si="0"/>
        <v>403225</v>
      </c>
      <c r="L6" s="10">
        <f t="shared" si="0"/>
        <v>2785561</v>
      </c>
      <c r="M6" s="8">
        <f t="shared" si="0"/>
        <v>790321</v>
      </c>
      <c r="N6" s="10">
        <f t="shared" si="0"/>
        <v>1243225</v>
      </c>
      <c r="O6" s="10">
        <f t="shared" si="0"/>
        <v>4536900</v>
      </c>
      <c r="P6" s="10">
        <f t="shared" si="0"/>
        <v>2383936</v>
      </c>
      <c r="Q6" s="10">
        <f t="shared" si="0"/>
        <v>12348196</v>
      </c>
      <c r="R6" s="10">
        <f t="shared" si="1"/>
        <v>24503464</v>
      </c>
      <c r="S6" s="10">
        <f t="shared" si="2"/>
        <v>4950.0973727796509</v>
      </c>
      <c r="T6" s="8">
        <v>27</v>
      </c>
      <c r="U6" s="8" t="s">
        <v>59</v>
      </c>
      <c r="V6" s="8">
        <v>16</v>
      </c>
      <c r="W6" s="8">
        <v>19</v>
      </c>
      <c r="X6" s="8">
        <v>35</v>
      </c>
    </row>
    <row r="7" spans="1:24" x14ac:dyDescent="0.25">
      <c r="A7" s="8">
        <v>3560</v>
      </c>
      <c r="B7" s="8">
        <v>2483</v>
      </c>
      <c r="C7" s="8">
        <v>1709</v>
      </c>
      <c r="D7" s="8">
        <v>1120</v>
      </c>
      <c r="E7" s="8">
        <v>1132</v>
      </c>
      <c r="F7" s="8">
        <v>2453</v>
      </c>
      <c r="G7" s="8">
        <v>2719</v>
      </c>
      <c r="H7" s="8">
        <v>1208</v>
      </c>
      <c r="I7" s="8">
        <v>0</v>
      </c>
      <c r="J7" s="10">
        <f t="shared" si="0"/>
        <v>9388096</v>
      </c>
      <c r="K7" s="10">
        <f t="shared" si="0"/>
        <v>4932841</v>
      </c>
      <c r="L7" s="10">
        <f t="shared" si="0"/>
        <v>6561</v>
      </c>
      <c r="M7" s="8">
        <f t="shared" si="0"/>
        <v>729316</v>
      </c>
      <c r="N7" s="10">
        <f t="shared" si="0"/>
        <v>2531281</v>
      </c>
      <c r="O7" s="10">
        <f t="shared" si="0"/>
        <v>9205156</v>
      </c>
      <c r="P7" s="10">
        <f t="shared" si="0"/>
        <v>342225</v>
      </c>
      <c r="Q7" s="10">
        <f t="shared" si="0"/>
        <v>739600</v>
      </c>
      <c r="R7" s="10">
        <f t="shared" si="1"/>
        <v>27875076</v>
      </c>
      <c r="S7" s="10">
        <f t="shared" si="2"/>
        <v>5279.6852178894151</v>
      </c>
      <c r="T7" s="8">
        <v>28</v>
      </c>
      <c r="U7" s="8" t="s">
        <v>59</v>
      </c>
      <c r="V7" s="8">
        <v>16</v>
      </c>
      <c r="W7" s="8">
        <v>19</v>
      </c>
      <c r="X7" s="8">
        <v>35</v>
      </c>
    </row>
    <row r="8" spans="1:24" x14ac:dyDescent="0.25">
      <c r="A8" s="8">
        <v>1634</v>
      </c>
      <c r="B8" s="8">
        <v>1322</v>
      </c>
      <c r="C8" s="8">
        <v>1961</v>
      </c>
      <c r="D8" s="8">
        <v>938</v>
      </c>
      <c r="E8" s="8">
        <v>2055</v>
      </c>
      <c r="F8" s="8">
        <v>2840</v>
      </c>
      <c r="G8" s="8">
        <v>3088</v>
      </c>
      <c r="H8" s="8">
        <v>2546</v>
      </c>
      <c r="I8" s="8">
        <v>0</v>
      </c>
      <c r="J8" s="10">
        <f t="shared" si="0"/>
        <v>1295044</v>
      </c>
      <c r="K8" s="10">
        <f t="shared" si="0"/>
        <v>1123600</v>
      </c>
      <c r="L8" s="10">
        <f t="shared" si="0"/>
        <v>29241</v>
      </c>
      <c r="M8" s="8">
        <f t="shared" si="0"/>
        <v>1073296</v>
      </c>
      <c r="N8" s="10">
        <f t="shared" si="0"/>
        <v>446224</v>
      </c>
      <c r="O8" s="10">
        <f t="shared" si="0"/>
        <v>7006609</v>
      </c>
      <c r="P8" s="10">
        <f t="shared" si="0"/>
        <v>46656</v>
      </c>
      <c r="Q8" s="10">
        <f t="shared" si="0"/>
        <v>4831204</v>
      </c>
      <c r="R8" s="10">
        <f t="shared" si="1"/>
        <v>15851874</v>
      </c>
      <c r="S8" s="10">
        <f t="shared" si="2"/>
        <v>3981.4411963508892</v>
      </c>
      <c r="T8" s="8">
        <v>16</v>
      </c>
      <c r="U8" s="8" t="s">
        <v>59</v>
      </c>
      <c r="V8" s="8">
        <v>16</v>
      </c>
      <c r="W8" s="8">
        <v>19</v>
      </c>
      <c r="X8" s="8">
        <v>35</v>
      </c>
    </row>
    <row r="9" spans="1:24" x14ac:dyDescent="0.25">
      <c r="A9" s="8">
        <v>1584</v>
      </c>
      <c r="B9" s="8">
        <v>1531</v>
      </c>
      <c r="C9" s="8">
        <v>2419</v>
      </c>
      <c r="D9" s="8">
        <v>2404</v>
      </c>
      <c r="E9" s="8">
        <v>2000</v>
      </c>
      <c r="F9" s="8">
        <v>1397</v>
      </c>
      <c r="G9" s="8">
        <v>3276</v>
      </c>
      <c r="H9" s="8">
        <v>1773</v>
      </c>
      <c r="I9" s="8">
        <v>0</v>
      </c>
      <c r="J9" s="10">
        <f t="shared" si="0"/>
        <v>1183744</v>
      </c>
      <c r="K9" s="10">
        <f t="shared" si="0"/>
        <v>1610361</v>
      </c>
      <c r="L9" s="10">
        <f t="shared" si="0"/>
        <v>395641</v>
      </c>
      <c r="M9" s="8">
        <f t="shared" si="0"/>
        <v>184900</v>
      </c>
      <c r="N9" s="10">
        <f t="shared" si="0"/>
        <v>522729</v>
      </c>
      <c r="O9" s="10">
        <f t="shared" si="0"/>
        <v>16728100</v>
      </c>
      <c r="P9" s="10">
        <f t="shared" si="0"/>
        <v>784</v>
      </c>
      <c r="Q9" s="10">
        <f t="shared" si="0"/>
        <v>2030625</v>
      </c>
      <c r="R9" s="10">
        <f t="shared" si="1"/>
        <v>22656884</v>
      </c>
      <c r="S9" s="10">
        <f t="shared" si="2"/>
        <v>4759.9247893217807</v>
      </c>
      <c r="T9" s="8">
        <v>25</v>
      </c>
      <c r="U9" s="8" t="s">
        <v>59</v>
      </c>
      <c r="V9" s="8">
        <v>16</v>
      </c>
      <c r="W9" s="8">
        <v>19</v>
      </c>
      <c r="X9" s="8">
        <v>35</v>
      </c>
    </row>
    <row r="10" spans="1:24" x14ac:dyDescent="0.25">
      <c r="A10" s="8">
        <v>859</v>
      </c>
      <c r="B10" s="8">
        <v>967</v>
      </c>
      <c r="C10" s="8">
        <v>934</v>
      </c>
      <c r="D10" s="8">
        <v>1004</v>
      </c>
      <c r="E10" s="8">
        <v>3107</v>
      </c>
      <c r="F10" s="8">
        <v>4990</v>
      </c>
      <c r="G10" s="8">
        <v>3280</v>
      </c>
      <c r="H10" s="8">
        <v>1243</v>
      </c>
      <c r="I10" s="8">
        <v>0</v>
      </c>
      <c r="J10" s="10">
        <f t="shared" si="0"/>
        <v>131769</v>
      </c>
      <c r="K10" s="10">
        <f t="shared" si="0"/>
        <v>497025</v>
      </c>
      <c r="L10" s="10">
        <f t="shared" si="0"/>
        <v>732736</v>
      </c>
      <c r="M10" s="8">
        <f t="shared" si="0"/>
        <v>940900</v>
      </c>
      <c r="N10" s="10">
        <f t="shared" si="0"/>
        <v>147456</v>
      </c>
      <c r="O10" s="10">
        <f t="shared" si="0"/>
        <v>247009</v>
      </c>
      <c r="P10" s="10">
        <f t="shared" si="0"/>
        <v>576</v>
      </c>
      <c r="Q10" s="10">
        <f t="shared" si="0"/>
        <v>801025</v>
      </c>
      <c r="R10" s="10">
        <f t="shared" si="1"/>
        <v>3498496</v>
      </c>
      <c r="S10" s="10">
        <f t="shared" si="2"/>
        <v>1870.4266892877679</v>
      </c>
      <c r="T10" s="8">
        <v>1</v>
      </c>
      <c r="U10" s="8" t="s">
        <v>59</v>
      </c>
      <c r="V10" s="8">
        <v>16</v>
      </c>
      <c r="W10" s="8">
        <v>19</v>
      </c>
      <c r="X10" s="8">
        <v>35</v>
      </c>
    </row>
    <row r="11" spans="1:24" x14ac:dyDescent="0.25">
      <c r="A11" s="8">
        <v>581</v>
      </c>
      <c r="B11" s="8">
        <v>564</v>
      </c>
      <c r="C11" s="8">
        <v>691</v>
      </c>
      <c r="D11" s="8">
        <v>1450</v>
      </c>
      <c r="E11" s="8">
        <v>2704</v>
      </c>
      <c r="F11" s="8">
        <v>3110</v>
      </c>
      <c r="G11" s="8">
        <v>4779</v>
      </c>
      <c r="H11" s="8">
        <v>2505</v>
      </c>
      <c r="I11" s="8">
        <v>0</v>
      </c>
      <c r="J11" s="10">
        <f t="shared" si="0"/>
        <v>7225</v>
      </c>
      <c r="K11" s="10">
        <f t="shared" si="0"/>
        <v>91204</v>
      </c>
      <c r="L11" s="10">
        <f t="shared" si="0"/>
        <v>1207801</v>
      </c>
      <c r="M11" s="8">
        <f t="shared" si="0"/>
        <v>274576</v>
      </c>
      <c r="N11" s="10">
        <f t="shared" si="0"/>
        <v>361</v>
      </c>
      <c r="O11" s="10">
        <f t="shared" si="0"/>
        <v>5650129</v>
      </c>
      <c r="P11" s="10">
        <f t="shared" si="0"/>
        <v>2175625</v>
      </c>
      <c r="Q11" s="10">
        <f t="shared" si="0"/>
        <v>4652649</v>
      </c>
      <c r="R11" s="10">
        <f t="shared" si="1"/>
        <v>14059570</v>
      </c>
      <c r="S11" s="10">
        <f t="shared" si="2"/>
        <v>3749.6093129818205</v>
      </c>
      <c r="T11" s="8">
        <v>10</v>
      </c>
      <c r="U11" s="8" t="s">
        <v>59</v>
      </c>
      <c r="V11" s="8">
        <v>16</v>
      </c>
      <c r="W11" s="8">
        <v>19</v>
      </c>
      <c r="X11" s="8">
        <v>35</v>
      </c>
    </row>
    <row r="12" spans="1:24" x14ac:dyDescent="0.25">
      <c r="A12" s="8">
        <v>871</v>
      </c>
      <c r="B12" s="8">
        <v>335</v>
      </c>
      <c r="C12" s="8">
        <v>678</v>
      </c>
      <c r="D12" s="8">
        <v>1315</v>
      </c>
      <c r="E12" s="8">
        <v>2128</v>
      </c>
      <c r="F12" s="8">
        <v>3844</v>
      </c>
      <c r="G12" s="8">
        <v>4544</v>
      </c>
      <c r="H12" s="8">
        <v>2669</v>
      </c>
      <c r="I12" s="8">
        <v>0</v>
      </c>
      <c r="J12" s="10">
        <f t="shared" si="0"/>
        <v>140625</v>
      </c>
      <c r="K12" s="10">
        <f t="shared" si="0"/>
        <v>5329</v>
      </c>
      <c r="L12" s="10">
        <f t="shared" si="0"/>
        <v>1236544</v>
      </c>
      <c r="M12" s="8">
        <f t="shared" si="0"/>
        <v>434281</v>
      </c>
      <c r="N12" s="10">
        <f t="shared" si="0"/>
        <v>354025</v>
      </c>
      <c r="O12" s="10">
        <f t="shared" si="0"/>
        <v>2699449</v>
      </c>
      <c r="P12" s="10">
        <f t="shared" si="0"/>
        <v>1537600</v>
      </c>
      <c r="Q12" s="10">
        <f t="shared" si="0"/>
        <v>5387041</v>
      </c>
      <c r="R12" s="10">
        <f t="shared" si="1"/>
        <v>11794894</v>
      </c>
      <c r="S12" s="10">
        <f t="shared" si="2"/>
        <v>3434.3695200138263</v>
      </c>
      <c r="T12" s="8">
        <v>7</v>
      </c>
      <c r="U12" s="8" t="s">
        <v>59</v>
      </c>
      <c r="V12" s="8">
        <v>16</v>
      </c>
      <c r="W12" s="8">
        <v>19</v>
      </c>
      <c r="X12" s="8">
        <v>35</v>
      </c>
    </row>
    <row r="13" spans="1:24" x14ac:dyDescent="0.25">
      <c r="A13" s="2">
        <v>289</v>
      </c>
      <c r="B13" s="2">
        <v>508</v>
      </c>
      <c r="C13" s="2">
        <v>140</v>
      </c>
      <c r="D13" s="2">
        <v>117</v>
      </c>
      <c r="E13" s="2">
        <v>2877</v>
      </c>
      <c r="F13" s="2">
        <v>1559</v>
      </c>
      <c r="G13" s="2">
        <v>4661</v>
      </c>
      <c r="H13" s="2">
        <v>6233</v>
      </c>
      <c r="I13" s="2">
        <v>0</v>
      </c>
      <c r="J13" s="7">
        <f t="shared" si="0"/>
        <v>42849</v>
      </c>
      <c r="K13" s="7">
        <f t="shared" si="0"/>
        <v>60516</v>
      </c>
      <c r="L13" s="7">
        <f t="shared" si="0"/>
        <v>2722500</v>
      </c>
      <c r="M13" s="2">
        <f t="shared" si="0"/>
        <v>3448449</v>
      </c>
      <c r="N13" s="7">
        <f t="shared" si="0"/>
        <v>23716</v>
      </c>
      <c r="O13" s="7">
        <f t="shared" si="0"/>
        <v>15429184</v>
      </c>
      <c r="P13" s="7">
        <f t="shared" si="0"/>
        <v>1841449</v>
      </c>
      <c r="Q13" s="7">
        <f t="shared" si="0"/>
        <v>34633225</v>
      </c>
      <c r="R13" s="7">
        <f t="shared" si="1"/>
        <v>58201888</v>
      </c>
      <c r="S13" s="7">
        <f t="shared" si="2"/>
        <v>7629.016188211951</v>
      </c>
      <c r="T13" s="2">
        <v>39</v>
      </c>
      <c r="U13" s="2" t="s">
        <v>60</v>
      </c>
      <c r="V13" s="2">
        <v>16</v>
      </c>
      <c r="W13" s="2">
        <v>19</v>
      </c>
      <c r="X13" s="2">
        <v>35</v>
      </c>
    </row>
    <row r="14" spans="1:24" x14ac:dyDescent="0.25">
      <c r="A14" s="8">
        <v>1172</v>
      </c>
      <c r="B14" s="8">
        <v>1126</v>
      </c>
      <c r="C14" s="8">
        <v>1086</v>
      </c>
      <c r="D14" s="8">
        <v>2105</v>
      </c>
      <c r="E14" s="8">
        <v>3172</v>
      </c>
      <c r="F14" s="8">
        <v>2608</v>
      </c>
      <c r="G14" s="8">
        <v>3122</v>
      </c>
      <c r="H14" s="8">
        <v>1993</v>
      </c>
      <c r="I14" s="8">
        <v>0</v>
      </c>
      <c r="J14" s="10">
        <f t="shared" si="0"/>
        <v>456976</v>
      </c>
      <c r="K14" s="10">
        <f t="shared" si="0"/>
        <v>746496</v>
      </c>
      <c r="L14" s="10">
        <f t="shared" si="0"/>
        <v>495616</v>
      </c>
      <c r="M14" s="8">
        <f t="shared" si="0"/>
        <v>17161</v>
      </c>
      <c r="N14" s="10">
        <f t="shared" si="0"/>
        <v>201601</v>
      </c>
      <c r="O14" s="10">
        <f t="shared" si="0"/>
        <v>8288641</v>
      </c>
      <c r="P14" s="10">
        <f t="shared" si="0"/>
        <v>33124</v>
      </c>
      <c r="Q14" s="10">
        <f t="shared" si="0"/>
        <v>2706025</v>
      </c>
      <c r="R14" s="10">
        <f t="shared" si="1"/>
        <v>12945640</v>
      </c>
      <c r="S14" s="10">
        <f t="shared" si="2"/>
        <v>3598.0050027758439</v>
      </c>
      <c r="T14" s="8">
        <v>9</v>
      </c>
      <c r="U14" s="8" t="s">
        <v>59</v>
      </c>
      <c r="V14" s="8">
        <v>16</v>
      </c>
      <c r="W14" s="8">
        <v>19</v>
      </c>
      <c r="X14" s="8">
        <v>35</v>
      </c>
    </row>
    <row r="15" spans="1:24" x14ac:dyDescent="0.25">
      <c r="A15" s="8">
        <v>859</v>
      </c>
      <c r="B15" s="8">
        <v>798</v>
      </c>
      <c r="C15" s="8">
        <v>839</v>
      </c>
      <c r="D15" s="8">
        <v>1508</v>
      </c>
      <c r="E15" s="8">
        <v>2207</v>
      </c>
      <c r="F15" s="8">
        <v>2716</v>
      </c>
      <c r="G15" s="8">
        <v>3909</v>
      </c>
      <c r="H15" s="8">
        <v>3548</v>
      </c>
      <c r="I15" s="8">
        <v>0</v>
      </c>
      <c r="J15" s="10">
        <f t="shared" si="0"/>
        <v>131769</v>
      </c>
      <c r="K15" s="10">
        <f t="shared" si="0"/>
        <v>287296</v>
      </c>
      <c r="L15" s="10">
        <f t="shared" si="0"/>
        <v>904401</v>
      </c>
      <c r="M15" s="8">
        <f t="shared" si="0"/>
        <v>217156</v>
      </c>
      <c r="N15" s="10">
        <f t="shared" si="0"/>
        <v>266256</v>
      </c>
      <c r="O15" s="10">
        <f t="shared" si="0"/>
        <v>7678441</v>
      </c>
      <c r="P15" s="10">
        <f t="shared" si="0"/>
        <v>366025</v>
      </c>
      <c r="Q15" s="10">
        <f t="shared" si="0"/>
        <v>10240000</v>
      </c>
      <c r="R15" s="10">
        <f t="shared" si="1"/>
        <v>20091344</v>
      </c>
      <c r="S15" s="10">
        <f t="shared" si="2"/>
        <v>4482.3368905070047</v>
      </c>
      <c r="T15" s="8">
        <v>24</v>
      </c>
      <c r="U15" s="8" t="s">
        <v>59</v>
      </c>
      <c r="V15" s="8">
        <v>16</v>
      </c>
      <c r="W15" s="8">
        <v>19</v>
      </c>
      <c r="X15" s="8">
        <v>35</v>
      </c>
    </row>
    <row r="16" spans="1:24" x14ac:dyDescent="0.25">
      <c r="A16" s="2">
        <v>260</v>
      </c>
      <c r="B16" s="2">
        <v>1834</v>
      </c>
      <c r="C16" s="2">
        <v>5744</v>
      </c>
      <c r="D16" s="2">
        <v>6179</v>
      </c>
      <c r="E16" s="2">
        <v>1967</v>
      </c>
      <c r="F16" s="2">
        <v>312</v>
      </c>
      <c r="G16" s="2">
        <v>0</v>
      </c>
      <c r="H16" s="2">
        <v>88</v>
      </c>
      <c r="I16" s="2">
        <v>0</v>
      </c>
      <c r="J16" s="7">
        <f t="shared" si="0"/>
        <v>55696</v>
      </c>
      <c r="K16" s="7">
        <f t="shared" si="0"/>
        <v>2471184</v>
      </c>
      <c r="L16" s="7">
        <f t="shared" si="0"/>
        <v>15634116</v>
      </c>
      <c r="M16" s="2">
        <f t="shared" si="0"/>
        <v>17682025</v>
      </c>
      <c r="N16" s="7">
        <f t="shared" si="0"/>
        <v>571536</v>
      </c>
      <c r="O16" s="7">
        <f t="shared" si="0"/>
        <v>26780625</v>
      </c>
      <c r="P16" s="7">
        <f t="shared" si="0"/>
        <v>10916416</v>
      </c>
      <c r="Q16" s="7">
        <f t="shared" si="0"/>
        <v>67600</v>
      </c>
      <c r="R16" s="7">
        <f t="shared" si="1"/>
        <v>74179198</v>
      </c>
      <c r="S16" s="7">
        <f t="shared" si="2"/>
        <v>8612.7346412158786</v>
      </c>
      <c r="T16" s="2">
        <v>40</v>
      </c>
      <c r="U16" s="2" t="s">
        <v>60</v>
      </c>
      <c r="V16" s="2">
        <v>16</v>
      </c>
      <c r="W16" s="2">
        <v>19</v>
      </c>
      <c r="X16" s="2">
        <v>35</v>
      </c>
    </row>
    <row r="17" spans="1:24" x14ac:dyDescent="0.25">
      <c r="A17" s="2">
        <v>130</v>
      </c>
      <c r="B17" s="2">
        <v>0</v>
      </c>
      <c r="C17" s="2">
        <v>360</v>
      </c>
      <c r="D17" s="2">
        <v>696</v>
      </c>
      <c r="E17" s="2">
        <v>1194</v>
      </c>
      <c r="F17" s="2">
        <v>2980</v>
      </c>
      <c r="G17" s="2">
        <v>7833</v>
      </c>
      <c r="H17" s="2">
        <v>3191</v>
      </c>
      <c r="I17" s="2">
        <v>0</v>
      </c>
      <c r="J17" s="7">
        <f t="shared" si="0"/>
        <v>133956</v>
      </c>
      <c r="K17" s="7">
        <f t="shared" si="0"/>
        <v>68644</v>
      </c>
      <c r="L17" s="7">
        <f t="shared" si="0"/>
        <v>2044900</v>
      </c>
      <c r="M17" s="2">
        <f t="shared" si="0"/>
        <v>1633284</v>
      </c>
      <c r="N17" s="7">
        <f t="shared" si="0"/>
        <v>2337841</v>
      </c>
      <c r="O17" s="7">
        <f t="shared" si="0"/>
        <v>6285049</v>
      </c>
      <c r="P17" s="7">
        <f t="shared" si="0"/>
        <v>20511841</v>
      </c>
      <c r="Q17" s="7">
        <f t="shared" si="0"/>
        <v>8082649</v>
      </c>
      <c r="R17" s="7">
        <f t="shared" si="1"/>
        <v>41098164</v>
      </c>
      <c r="S17" s="7">
        <f t="shared" si="2"/>
        <v>6410.7849753364835</v>
      </c>
      <c r="T17" s="2">
        <v>37</v>
      </c>
      <c r="U17" s="2" t="s">
        <v>60</v>
      </c>
      <c r="V17" s="2">
        <v>16</v>
      </c>
      <c r="W17" s="2">
        <v>19</v>
      </c>
      <c r="X17" s="2">
        <v>35</v>
      </c>
    </row>
    <row r="18" spans="1:24" x14ac:dyDescent="0.25">
      <c r="A18" s="8">
        <v>467</v>
      </c>
      <c r="B18" s="8">
        <v>609</v>
      </c>
      <c r="C18" s="8">
        <v>1624</v>
      </c>
      <c r="D18" s="8">
        <v>2286</v>
      </c>
      <c r="E18" s="8">
        <v>3478</v>
      </c>
      <c r="F18" s="8">
        <v>2422</v>
      </c>
      <c r="G18" s="8">
        <v>2861</v>
      </c>
      <c r="H18" s="8">
        <v>2637</v>
      </c>
      <c r="I18" s="8">
        <v>0</v>
      </c>
      <c r="J18" s="10">
        <f t="shared" si="0"/>
        <v>841</v>
      </c>
      <c r="K18" s="10">
        <f t="shared" si="0"/>
        <v>120409</v>
      </c>
      <c r="L18" s="10">
        <f t="shared" si="0"/>
        <v>27556</v>
      </c>
      <c r="M18" s="8">
        <f t="shared" si="0"/>
        <v>97344</v>
      </c>
      <c r="N18" s="10">
        <f t="shared" si="0"/>
        <v>570025</v>
      </c>
      <c r="O18" s="10">
        <f t="shared" si="0"/>
        <v>9394225</v>
      </c>
      <c r="P18" s="10">
        <f t="shared" si="0"/>
        <v>196249</v>
      </c>
      <c r="Q18" s="10">
        <f t="shared" si="0"/>
        <v>5239521</v>
      </c>
      <c r="R18" s="10">
        <f t="shared" si="1"/>
        <v>15646170</v>
      </c>
      <c r="S18" s="10">
        <f t="shared" si="2"/>
        <v>3955.523985516963</v>
      </c>
      <c r="T18" s="8">
        <v>15</v>
      </c>
      <c r="U18" s="8" t="s">
        <v>59</v>
      </c>
      <c r="V18" s="8">
        <v>16</v>
      </c>
      <c r="W18" s="8">
        <v>19</v>
      </c>
      <c r="X18" s="8">
        <v>35</v>
      </c>
    </row>
    <row r="19" spans="1:24" x14ac:dyDescent="0.25">
      <c r="A19" s="8">
        <v>2350</v>
      </c>
      <c r="B19" s="8">
        <v>2848</v>
      </c>
      <c r="C19" s="8">
        <v>1424</v>
      </c>
      <c r="D19" s="8">
        <v>2243</v>
      </c>
      <c r="E19" s="8">
        <v>1311</v>
      </c>
      <c r="F19" s="8">
        <v>1312</v>
      </c>
      <c r="G19" s="8">
        <v>2703</v>
      </c>
      <c r="H19" s="8">
        <v>2193</v>
      </c>
      <c r="I19" s="8">
        <v>0</v>
      </c>
      <c r="J19" s="10">
        <f t="shared" ref="J19:Q42" si="3">SUMSQ(A19-A61)</f>
        <v>3437316</v>
      </c>
      <c r="K19" s="10">
        <f t="shared" si="3"/>
        <v>6687396</v>
      </c>
      <c r="L19" s="10">
        <f t="shared" si="3"/>
        <v>133956</v>
      </c>
      <c r="M19" s="8">
        <f t="shared" si="3"/>
        <v>72361</v>
      </c>
      <c r="N19" s="10">
        <f t="shared" si="3"/>
        <v>1993744</v>
      </c>
      <c r="O19" s="10">
        <f t="shared" si="3"/>
        <v>17430625</v>
      </c>
      <c r="P19" s="10">
        <f t="shared" si="3"/>
        <v>361201</v>
      </c>
      <c r="Q19" s="10">
        <f t="shared" si="3"/>
        <v>3404025</v>
      </c>
      <c r="R19" s="10">
        <f t="shared" si="1"/>
        <v>33520624</v>
      </c>
      <c r="S19" s="10">
        <f t="shared" si="2"/>
        <v>5789.6998195070528</v>
      </c>
      <c r="T19" s="8">
        <v>32</v>
      </c>
      <c r="U19" s="8" t="s">
        <v>59</v>
      </c>
      <c r="V19" s="8">
        <v>16</v>
      </c>
      <c r="W19" s="8">
        <v>19</v>
      </c>
      <c r="X19" s="8">
        <v>35</v>
      </c>
    </row>
    <row r="20" spans="1:24" x14ac:dyDescent="0.25">
      <c r="A20" s="2">
        <v>1736</v>
      </c>
      <c r="B20" s="2">
        <v>2557</v>
      </c>
      <c r="C20" s="2">
        <v>2932</v>
      </c>
      <c r="D20" s="2">
        <v>3654</v>
      </c>
      <c r="E20" s="2">
        <v>3546</v>
      </c>
      <c r="F20" s="2">
        <v>1273</v>
      </c>
      <c r="G20" s="2">
        <v>498</v>
      </c>
      <c r="H20" s="2">
        <v>188</v>
      </c>
      <c r="I20" s="2">
        <v>0</v>
      </c>
      <c r="J20" s="7">
        <f t="shared" si="3"/>
        <v>1537600</v>
      </c>
      <c r="K20" s="7">
        <f t="shared" si="3"/>
        <v>5267025</v>
      </c>
      <c r="L20" s="7">
        <f t="shared" si="3"/>
        <v>1304164</v>
      </c>
      <c r="M20" s="2">
        <f t="shared" si="3"/>
        <v>2822400</v>
      </c>
      <c r="N20" s="7">
        <f t="shared" si="3"/>
        <v>677329</v>
      </c>
      <c r="O20" s="7">
        <f t="shared" si="3"/>
        <v>17757796</v>
      </c>
      <c r="P20" s="7">
        <f t="shared" si="3"/>
        <v>7873636</v>
      </c>
      <c r="Q20" s="7">
        <f t="shared" si="3"/>
        <v>25600</v>
      </c>
      <c r="R20" s="7">
        <f t="shared" si="1"/>
        <v>37265550</v>
      </c>
      <c r="S20" s="7">
        <f t="shared" si="2"/>
        <v>6104.551580583131</v>
      </c>
      <c r="T20" s="2">
        <v>36</v>
      </c>
      <c r="U20" s="2" t="s">
        <v>60</v>
      </c>
      <c r="V20" s="2">
        <v>16</v>
      </c>
      <c r="W20" s="2">
        <v>19</v>
      </c>
      <c r="X20" s="2">
        <v>35</v>
      </c>
    </row>
    <row r="21" spans="1:24" x14ac:dyDescent="0.25">
      <c r="A21" s="8">
        <v>203</v>
      </c>
      <c r="B21" s="8">
        <v>658</v>
      </c>
      <c r="C21" s="8">
        <v>817</v>
      </c>
      <c r="D21" s="8">
        <v>2311</v>
      </c>
      <c r="E21" s="8">
        <v>2326</v>
      </c>
      <c r="F21" s="8">
        <v>2885</v>
      </c>
      <c r="G21" s="8">
        <v>4499</v>
      </c>
      <c r="H21" s="8">
        <v>2685</v>
      </c>
      <c r="I21" s="8">
        <v>0</v>
      </c>
      <c r="J21" s="10">
        <f t="shared" si="3"/>
        <v>85849</v>
      </c>
      <c r="K21" s="10">
        <f t="shared" si="3"/>
        <v>156816</v>
      </c>
      <c r="L21" s="10">
        <f t="shared" si="3"/>
        <v>946729</v>
      </c>
      <c r="M21" s="8">
        <f t="shared" si="3"/>
        <v>113569</v>
      </c>
      <c r="N21" s="10">
        <f t="shared" si="3"/>
        <v>157609</v>
      </c>
      <c r="O21" s="10">
        <f t="shared" si="3"/>
        <v>6770404</v>
      </c>
      <c r="P21" s="10">
        <f t="shared" si="3"/>
        <v>1428025</v>
      </c>
      <c r="Q21" s="10">
        <f t="shared" si="3"/>
        <v>5461569</v>
      </c>
      <c r="R21" s="10">
        <f t="shared" si="1"/>
        <v>15120570</v>
      </c>
      <c r="S21" s="10">
        <f t="shared" si="2"/>
        <v>3888.5177124451934</v>
      </c>
      <c r="T21" s="8">
        <v>13</v>
      </c>
      <c r="U21" s="8" t="s">
        <v>59</v>
      </c>
      <c r="V21" s="8">
        <v>16</v>
      </c>
      <c r="W21" s="8">
        <v>19</v>
      </c>
      <c r="X21" s="8">
        <v>35</v>
      </c>
    </row>
    <row r="22" spans="1:24" x14ac:dyDescent="0.25">
      <c r="A22" s="8">
        <v>769</v>
      </c>
      <c r="B22" s="8">
        <v>515</v>
      </c>
      <c r="C22" s="8">
        <v>479</v>
      </c>
      <c r="D22" s="8">
        <v>879</v>
      </c>
      <c r="E22" s="8">
        <v>2398</v>
      </c>
      <c r="F22" s="8">
        <v>3458</v>
      </c>
      <c r="G22" s="8">
        <v>4967</v>
      </c>
      <c r="H22" s="8">
        <v>2919</v>
      </c>
      <c r="I22" s="8">
        <v>0</v>
      </c>
      <c r="J22" s="10">
        <f t="shared" si="3"/>
        <v>74529</v>
      </c>
      <c r="K22" s="10">
        <f t="shared" si="3"/>
        <v>64009</v>
      </c>
      <c r="L22" s="10">
        <f t="shared" si="3"/>
        <v>1718721</v>
      </c>
      <c r="M22" s="8">
        <f t="shared" si="3"/>
        <v>1199025</v>
      </c>
      <c r="N22" s="10">
        <f t="shared" si="3"/>
        <v>105625</v>
      </c>
      <c r="O22" s="10">
        <f t="shared" si="3"/>
        <v>4116841</v>
      </c>
      <c r="P22" s="10">
        <f t="shared" si="3"/>
        <v>2765569</v>
      </c>
      <c r="Q22" s="10">
        <f t="shared" si="3"/>
        <v>6610041</v>
      </c>
      <c r="R22" s="10">
        <f t="shared" si="1"/>
        <v>16654360</v>
      </c>
      <c r="S22" s="10">
        <f t="shared" si="2"/>
        <v>4080.9753736086182</v>
      </c>
      <c r="T22" s="8">
        <v>17</v>
      </c>
      <c r="U22" s="8" t="s">
        <v>59</v>
      </c>
      <c r="V22" s="8">
        <v>16</v>
      </c>
      <c r="W22" s="8">
        <v>19</v>
      </c>
      <c r="X22" s="8">
        <v>35</v>
      </c>
    </row>
    <row r="23" spans="1:24" x14ac:dyDescent="0.25">
      <c r="A23" s="9">
        <v>1268</v>
      </c>
      <c r="B23" s="9">
        <v>4170</v>
      </c>
      <c r="C23" s="9">
        <v>1608</v>
      </c>
      <c r="D23" s="9">
        <v>934</v>
      </c>
      <c r="E23" s="9">
        <v>1222</v>
      </c>
      <c r="F23" s="9">
        <v>2369</v>
      </c>
      <c r="G23" s="9">
        <v>2256</v>
      </c>
      <c r="H23" s="9">
        <v>2557</v>
      </c>
      <c r="I23" s="9">
        <v>1</v>
      </c>
      <c r="J23" s="11">
        <f t="shared" si="3"/>
        <v>595984</v>
      </c>
      <c r="K23" s="11">
        <f t="shared" si="3"/>
        <v>15272464</v>
      </c>
      <c r="L23" s="11">
        <f t="shared" si="3"/>
        <v>33124</v>
      </c>
      <c r="M23" s="9">
        <f t="shared" si="3"/>
        <v>1081600</v>
      </c>
      <c r="N23" s="11">
        <f t="shared" si="3"/>
        <v>2253001</v>
      </c>
      <c r="O23" s="11">
        <f t="shared" si="3"/>
        <v>9721924</v>
      </c>
      <c r="P23" s="11">
        <f t="shared" si="3"/>
        <v>1098304</v>
      </c>
      <c r="Q23" s="11">
        <f t="shared" si="3"/>
        <v>4879681</v>
      </c>
      <c r="R23" s="11">
        <f t="shared" si="1"/>
        <v>34936082</v>
      </c>
      <c r="S23" s="11">
        <f t="shared" si="2"/>
        <v>5910.6752575319179</v>
      </c>
      <c r="T23" s="9">
        <v>33</v>
      </c>
      <c r="U23" s="9" t="s">
        <v>59</v>
      </c>
      <c r="V23" s="9">
        <v>16</v>
      </c>
      <c r="W23" s="9">
        <v>19</v>
      </c>
      <c r="X23" s="9">
        <v>35</v>
      </c>
    </row>
    <row r="24" spans="1:24" x14ac:dyDescent="0.25">
      <c r="A24" s="9">
        <v>3563</v>
      </c>
      <c r="B24" s="9">
        <v>2199</v>
      </c>
      <c r="C24" s="9">
        <v>2722</v>
      </c>
      <c r="D24" s="9">
        <v>1760</v>
      </c>
      <c r="E24" s="9">
        <v>1842</v>
      </c>
      <c r="F24" s="9">
        <v>1939</v>
      </c>
      <c r="G24" s="9">
        <v>1521</v>
      </c>
      <c r="H24" s="9">
        <v>838</v>
      </c>
      <c r="I24" s="9">
        <v>1</v>
      </c>
      <c r="J24" s="11">
        <f t="shared" si="3"/>
        <v>9406489</v>
      </c>
      <c r="K24" s="11">
        <f t="shared" si="3"/>
        <v>3751969</v>
      </c>
      <c r="L24" s="11">
        <f t="shared" si="3"/>
        <v>868624</v>
      </c>
      <c r="M24" s="9">
        <f t="shared" si="3"/>
        <v>45796</v>
      </c>
      <c r="N24" s="11">
        <f t="shared" si="3"/>
        <v>776161</v>
      </c>
      <c r="O24" s="11">
        <f t="shared" si="3"/>
        <v>12588304</v>
      </c>
      <c r="P24" s="11">
        <f t="shared" si="3"/>
        <v>3179089</v>
      </c>
      <c r="Q24" s="11">
        <f t="shared" si="3"/>
        <v>240100</v>
      </c>
      <c r="R24" s="11">
        <f t="shared" si="1"/>
        <v>30856532</v>
      </c>
      <c r="S24" s="11">
        <f t="shared" si="2"/>
        <v>5554.8656149361523</v>
      </c>
      <c r="T24" s="9">
        <v>29</v>
      </c>
      <c r="U24" s="9" t="s">
        <v>59</v>
      </c>
      <c r="V24" s="9">
        <v>16</v>
      </c>
      <c r="W24" s="9">
        <v>19</v>
      </c>
      <c r="X24" s="9">
        <v>35</v>
      </c>
    </row>
    <row r="25" spans="1:24" x14ac:dyDescent="0.25">
      <c r="A25" s="9">
        <v>643</v>
      </c>
      <c r="B25" s="9">
        <v>486</v>
      </c>
      <c r="C25" s="9">
        <v>1089</v>
      </c>
      <c r="D25" s="9">
        <v>1492</v>
      </c>
      <c r="E25" s="9">
        <v>2377</v>
      </c>
      <c r="F25" s="9">
        <v>2968</v>
      </c>
      <c r="G25" s="9">
        <v>3515</v>
      </c>
      <c r="H25" s="9">
        <v>3814</v>
      </c>
      <c r="I25" s="9">
        <v>1</v>
      </c>
      <c r="J25" s="11">
        <f t="shared" si="3"/>
        <v>21609</v>
      </c>
      <c r="K25" s="11">
        <f t="shared" si="3"/>
        <v>50176</v>
      </c>
      <c r="L25" s="11">
        <f t="shared" si="3"/>
        <v>491401</v>
      </c>
      <c r="M25" s="9">
        <f t="shared" si="3"/>
        <v>232324</v>
      </c>
      <c r="N25" s="11">
        <f t="shared" si="3"/>
        <v>119716</v>
      </c>
      <c r="O25" s="11">
        <f t="shared" si="3"/>
        <v>6345361</v>
      </c>
      <c r="P25" s="11">
        <f t="shared" si="3"/>
        <v>44521</v>
      </c>
      <c r="Q25" s="11">
        <f t="shared" si="3"/>
        <v>12013156</v>
      </c>
      <c r="R25" s="11">
        <f t="shared" si="1"/>
        <v>19318264</v>
      </c>
      <c r="S25" s="11">
        <f t="shared" si="2"/>
        <v>4395.254713893155</v>
      </c>
      <c r="T25" s="9">
        <v>23</v>
      </c>
      <c r="U25" s="9" t="s">
        <v>59</v>
      </c>
      <c r="V25" s="9">
        <v>16</v>
      </c>
      <c r="W25" s="9">
        <v>19</v>
      </c>
      <c r="X25" s="9">
        <v>35</v>
      </c>
    </row>
    <row r="26" spans="1:24" x14ac:dyDescent="0.25">
      <c r="A26" s="9">
        <v>368</v>
      </c>
      <c r="B26" s="9">
        <v>361</v>
      </c>
      <c r="C26" s="9">
        <v>856</v>
      </c>
      <c r="D26" s="9">
        <v>1609</v>
      </c>
      <c r="E26" s="9">
        <v>3640</v>
      </c>
      <c r="F26" s="9">
        <v>4045</v>
      </c>
      <c r="G26" s="9">
        <v>3638</v>
      </c>
      <c r="H26" s="9">
        <v>1867</v>
      </c>
      <c r="I26" s="9">
        <v>1</v>
      </c>
      <c r="J26" s="11">
        <f t="shared" si="3"/>
        <v>16384</v>
      </c>
      <c r="K26" s="11">
        <f t="shared" si="3"/>
        <v>9801</v>
      </c>
      <c r="L26" s="11">
        <f t="shared" si="3"/>
        <v>872356</v>
      </c>
      <c r="M26" s="9">
        <f t="shared" si="3"/>
        <v>133225</v>
      </c>
      <c r="N26" s="11">
        <f t="shared" si="3"/>
        <v>840889</v>
      </c>
      <c r="O26" s="11">
        <f t="shared" si="3"/>
        <v>2079364</v>
      </c>
      <c r="P26" s="11">
        <f t="shared" si="3"/>
        <v>111556</v>
      </c>
      <c r="Q26" s="11">
        <f t="shared" si="3"/>
        <v>2307361</v>
      </c>
      <c r="R26" s="11">
        <f t="shared" si="1"/>
        <v>6370936</v>
      </c>
      <c r="S26" s="11">
        <f t="shared" si="2"/>
        <v>2524.0713143649486</v>
      </c>
      <c r="T26" s="9">
        <v>2</v>
      </c>
      <c r="U26" s="9" t="s">
        <v>59</v>
      </c>
      <c r="V26" s="9">
        <v>16</v>
      </c>
      <c r="W26" s="9">
        <v>19</v>
      </c>
      <c r="X26" s="9">
        <v>35</v>
      </c>
    </row>
    <row r="27" spans="1:24" x14ac:dyDescent="0.25">
      <c r="A27" s="9">
        <v>1250</v>
      </c>
      <c r="B27" s="9">
        <v>1898</v>
      </c>
      <c r="C27" s="9">
        <v>497</v>
      </c>
      <c r="D27" s="9">
        <v>691</v>
      </c>
      <c r="E27" s="9">
        <v>1818</v>
      </c>
      <c r="F27" s="9">
        <v>4451</v>
      </c>
      <c r="G27" s="9">
        <v>3058</v>
      </c>
      <c r="H27" s="9">
        <v>2721</v>
      </c>
      <c r="I27" s="9">
        <v>1</v>
      </c>
      <c r="J27" s="11">
        <f t="shared" si="3"/>
        <v>568516</v>
      </c>
      <c r="K27" s="11">
        <f t="shared" si="3"/>
        <v>2676496</v>
      </c>
      <c r="L27" s="11">
        <f t="shared" si="3"/>
        <v>1671849</v>
      </c>
      <c r="M27" s="9">
        <f t="shared" si="3"/>
        <v>1646089</v>
      </c>
      <c r="N27" s="11">
        <f t="shared" si="3"/>
        <v>819025</v>
      </c>
      <c r="O27" s="11">
        <f t="shared" si="3"/>
        <v>1073296</v>
      </c>
      <c r="P27" s="11">
        <f t="shared" si="3"/>
        <v>60516</v>
      </c>
      <c r="Q27" s="11">
        <f t="shared" si="3"/>
        <v>5631129</v>
      </c>
      <c r="R27" s="11">
        <f t="shared" si="1"/>
        <v>14146916</v>
      </c>
      <c r="S27" s="11">
        <f t="shared" si="2"/>
        <v>3761.2386257721005</v>
      </c>
      <c r="T27" s="9">
        <v>11</v>
      </c>
      <c r="U27" s="9" t="s">
        <v>59</v>
      </c>
      <c r="V27" s="9">
        <v>16</v>
      </c>
      <c r="W27" s="9">
        <v>19</v>
      </c>
      <c r="X27" s="9">
        <v>35</v>
      </c>
    </row>
    <row r="28" spans="1:24" x14ac:dyDescent="0.25">
      <c r="A28" s="9">
        <v>262</v>
      </c>
      <c r="B28" s="9">
        <v>552</v>
      </c>
      <c r="C28" s="9">
        <v>797</v>
      </c>
      <c r="D28" s="9">
        <v>1559</v>
      </c>
      <c r="E28" s="9">
        <v>3061</v>
      </c>
      <c r="F28" s="9">
        <v>3924</v>
      </c>
      <c r="G28" s="9">
        <v>3717</v>
      </c>
      <c r="H28" s="9">
        <v>2512</v>
      </c>
      <c r="I28" s="9">
        <v>1</v>
      </c>
      <c r="J28" s="11">
        <f t="shared" si="3"/>
        <v>54756</v>
      </c>
      <c r="K28" s="11">
        <f t="shared" si="3"/>
        <v>84100</v>
      </c>
      <c r="L28" s="11">
        <f t="shared" si="3"/>
        <v>986049</v>
      </c>
      <c r="M28" s="9">
        <f t="shared" si="3"/>
        <v>172225</v>
      </c>
      <c r="N28" s="11">
        <f t="shared" si="3"/>
        <v>114244</v>
      </c>
      <c r="O28" s="11">
        <f t="shared" si="3"/>
        <v>2442969</v>
      </c>
      <c r="P28" s="11">
        <f t="shared" si="3"/>
        <v>170569</v>
      </c>
      <c r="Q28" s="11">
        <f t="shared" si="3"/>
        <v>4682896</v>
      </c>
      <c r="R28" s="11">
        <f t="shared" si="1"/>
        <v>8707808</v>
      </c>
      <c r="S28" s="11">
        <f t="shared" si="2"/>
        <v>2950.899523874034</v>
      </c>
      <c r="T28" s="9">
        <v>4</v>
      </c>
      <c r="U28" s="9" t="s">
        <v>59</v>
      </c>
      <c r="V28" s="9">
        <v>16</v>
      </c>
      <c r="W28" s="9">
        <v>19</v>
      </c>
      <c r="X28" s="9">
        <v>35</v>
      </c>
    </row>
    <row r="29" spans="1:24" x14ac:dyDescent="0.25">
      <c r="A29" s="9">
        <v>2192</v>
      </c>
      <c r="B29" s="9">
        <v>724</v>
      </c>
      <c r="C29" s="9">
        <v>264</v>
      </c>
      <c r="D29" s="9">
        <v>1291</v>
      </c>
      <c r="E29" s="9">
        <v>1551</v>
      </c>
      <c r="F29" s="9">
        <v>2261</v>
      </c>
      <c r="G29" s="9">
        <v>3495</v>
      </c>
      <c r="H29" s="9">
        <v>4606</v>
      </c>
      <c r="I29" s="9">
        <v>1</v>
      </c>
      <c r="J29" s="11">
        <f t="shared" si="3"/>
        <v>2876416</v>
      </c>
      <c r="K29" s="11">
        <f t="shared" si="3"/>
        <v>213444</v>
      </c>
      <c r="L29" s="11">
        <f t="shared" si="3"/>
        <v>2328676</v>
      </c>
      <c r="M29" s="9">
        <f t="shared" si="3"/>
        <v>466489</v>
      </c>
      <c r="N29" s="11">
        <f t="shared" si="3"/>
        <v>1373584</v>
      </c>
      <c r="O29" s="11">
        <f t="shared" si="3"/>
        <v>10407076</v>
      </c>
      <c r="P29" s="11">
        <f t="shared" si="3"/>
        <v>36481</v>
      </c>
      <c r="Q29" s="11">
        <f t="shared" si="3"/>
        <v>18130564</v>
      </c>
      <c r="R29" s="11">
        <f t="shared" si="1"/>
        <v>35832730</v>
      </c>
      <c r="S29" s="11">
        <f t="shared" si="2"/>
        <v>5986.0446039099979</v>
      </c>
      <c r="T29" s="9">
        <v>35</v>
      </c>
      <c r="U29" s="9" t="s">
        <v>59</v>
      </c>
      <c r="V29" s="9">
        <v>16</v>
      </c>
      <c r="W29" s="9">
        <v>19</v>
      </c>
      <c r="X29" s="9">
        <v>35</v>
      </c>
    </row>
    <row r="30" spans="1:24" x14ac:dyDescent="0.25">
      <c r="A30" s="9">
        <v>458</v>
      </c>
      <c r="B30" s="9">
        <v>267</v>
      </c>
      <c r="C30" s="9">
        <v>715</v>
      </c>
      <c r="D30" s="9">
        <v>692</v>
      </c>
      <c r="E30" s="9">
        <v>2510</v>
      </c>
      <c r="F30" s="9">
        <v>4387</v>
      </c>
      <c r="G30" s="9">
        <v>4712</v>
      </c>
      <c r="H30" s="9">
        <v>2643</v>
      </c>
      <c r="I30" s="9">
        <v>1</v>
      </c>
      <c r="J30" s="11">
        <f t="shared" si="3"/>
        <v>1444</v>
      </c>
      <c r="K30" s="11">
        <f t="shared" si="3"/>
        <v>25</v>
      </c>
      <c r="L30" s="11">
        <f t="shared" si="3"/>
        <v>1155625</v>
      </c>
      <c r="M30" s="9">
        <f t="shared" si="3"/>
        <v>1643524</v>
      </c>
      <c r="N30" s="11">
        <f t="shared" si="3"/>
        <v>45369</v>
      </c>
      <c r="O30" s="11">
        <f t="shared" si="3"/>
        <v>1210000</v>
      </c>
      <c r="P30" s="11">
        <f t="shared" si="3"/>
        <v>1982464</v>
      </c>
      <c r="Q30" s="11">
        <f t="shared" si="3"/>
        <v>5267025</v>
      </c>
      <c r="R30" s="11">
        <f t="shared" si="1"/>
        <v>11305476</v>
      </c>
      <c r="S30" s="11">
        <f t="shared" si="2"/>
        <v>3362.3616700170728</v>
      </c>
      <c r="T30" s="9">
        <v>5</v>
      </c>
      <c r="U30" s="9" t="s">
        <v>59</v>
      </c>
      <c r="V30" s="9">
        <v>16</v>
      </c>
      <c r="W30" s="9">
        <v>19</v>
      </c>
      <c r="X30" s="9">
        <v>35</v>
      </c>
    </row>
    <row r="31" spans="1:24" x14ac:dyDescent="0.25">
      <c r="A31" s="9">
        <v>462</v>
      </c>
      <c r="B31" s="9">
        <v>931</v>
      </c>
      <c r="C31" s="9">
        <v>2309</v>
      </c>
      <c r="D31" s="9">
        <v>600</v>
      </c>
      <c r="E31" s="9">
        <v>1817</v>
      </c>
      <c r="F31" s="9">
        <v>2764</v>
      </c>
      <c r="G31" s="9">
        <v>5694</v>
      </c>
      <c r="H31" s="9">
        <v>1807</v>
      </c>
      <c r="I31" s="9">
        <v>1</v>
      </c>
      <c r="J31" s="11">
        <f t="shared" si="3"/>
        <v>1156</v>
      </c>
      <c r="K31" s="11">
        <f t="shared" si="3"/>
        <v>447561</v>
      </c>
      <c r="L31" s="11">
        <f t="shared" si="3"/>
        <v>269361</v>
      </c>
      <c r="M31" s="9">
        <f t="shared" si="3"/>
        <v>1887876</v>
      </c>
      <c r="N31" s="11">
        <f t="shared" si="3"/>
        <v>820836</v>
      </c>
      <c r="O31" s="11">
        <f t="shared" si="3"/>
        <v>7414729</v>
      </c>
      <c r="P31" s="11">
        <f t="shared" si="3"/>
        <v>5712100</v>
      </c>
      <c r="Q31" s="11">
        <f t="shared" si="3"/>
        <v>2128681</v>
      </c>
      <c r="R31" s="11">
        <f t="shared" si="1"/>
        <v>18682300</v>
      </c>
      <c r="S31" s="11">
        <f t="shared" si="2"/>
        <v>4322.3026270727505</v>
      </c>
      <c r="T31" s="9">
        <v>21</v>
      </c>
      <c r="U31" s="9" t="s">
        <v>59</v>
      </c>
      <c r="V31" s="9">
        <v>16</v>
      </c>
      <c r="W31" s="9">
        <v>19</v>
      </c>
      <c r="X31" s="9">
        <v>35</v>
      </c>
    </row>
    <row r="32" spans="1:24" x14ac:dyDescent="0.25">
      <c r="A32" s="2">
        <v>1945</v>
      </c>
      <c r="B32" s="2">
        <v>1502</v>
      </c>
      <c r="C32" s="2">
        <v>385</v>
      </c>
      <c r="D32" s="2">
        <v>577</v>
      </c>
      <c r="E32" s="2">
        <v>946</v>
      </c>
      <c r="F32" s="2">
        <v>1736</v>
      </c>
      <c r="G32" s="2">
        <v>3752</v>
      </c>
      <c r="H32" s="2">
        <v>5541</v>
      </c>
      <c r="I32" s="2">
        <v>1</v>
      </c>
      <c r="J32" s="7">
        <f t="shared" si="3"/>
        <v>2099601</v>
      </c>
      <c r="K32" s="7">
        <f t="shared" si="3"/>
        <v>1537600</v>
      </c>
      <c r="L32" s="7">
        <f t="shared" si="3"/>
        <v>1974025</v>
      </c>
      <c r="M32" s="2">
        <f t="shared" si="3"/>
        <v>1951609</v>
      </c>
      <c r="N32" s="7">
        <f t="shared" si="3"/>
        <v>3157729</v>
      </c>
      <c r="O32" s="7">
        <f t="shared" si="3"/>
        <v>14070001</v>
      </c>
      <c r="P32" s="7">
        <f t="shared" si="3"/>
        <v>200704</v>
      </c>
      <c r="Q32" s="7">
        <f t="shared" si="3"/>
        <v>26967249</v>
      </c>
      <c r="R32" s="7">
        <f t="shared" si="1"/>
        <v>51958518</v>
      </c>
      <c r="S32" s="7">
        <f t="shared" si="2"/>
        <v>7208.2257178864756</v>
      </c>
      <c r="T32" s="2">
        <v>38</v>
      </c>
      <c r="U32" s="2" t="s">
        <v>60</v>
      </c>
      <c r="V32" s="2">
        <v>16</v>
      </c>
      <c r="W32" s="2">
        <v>19</v>
      </c>
      <c r="X32" s="2">
        <v>35</v>
      </c>
    </row>
    <row r="33" spans="1:24" x14ac:dyDescent="0.25">
      <c r="A33" s="9">
        <v>659</v>
      </c>
      <c r="B33" s="9">
        <v>809</v>
      </c>
      <c r="C33" s="9">
        <v>1610</v>
      </c>
      <c r="D33" s="9">
        <v>1396</v>
      </c>
      <c r="E33" s="9">
        <v>2894</v>
      </c>
      <c r="F33" s="9">
        <v>3555</v>
      </c>
      <c r="G33" s="9">
        <v>3487</v>
      </c>
      <c r="H33" s="9">
        <v>1974</v>
      </c>
      <c r="I33" s="9">
        <v>1</v>
      </c>
      <c r="J33" s="11">
        <f t="shared" si="3"/>
        <v>26569</v>
      </c>
      <c r="K33" s="11">
        <f t="shared" si="3"/>
        <v>299209</v>
      </c>
      <c r="L33" s="11">
        <f t="shared" si="3"/>
        <v>32400</v>
      </c>
      <c r="M33" s="9">
        <f t="shared" si="3"/>
        <v>334084</v>
      </c>
      <c r="N33" s="11">
        <f t="shared" si="3"/>
        <v>29241</v>
      </c>
      <c r="O33" s="11">
        <f t="shared" si="3"/>
        <v>3732624</v>
      </c>
      <c r="P33" s="11">
        <f t="shared" si="3"/>
        <v>33489</v>
      </c>
      <c r="Q33" s="11">
        <f t="shared" si="3"/>
        <v>2643876</v>
      </c>
      <c r="R33" s="11">
        <f t="shared" si="1"/>
        <v>7131492</v>
      </c>
      <c r="S33" s="11">
        <f t="shared" si="2"/>
        <v>2670.4853491453573</v>
      </c>
      <c r="T33" s="9">
        <v>3</v>
      </c>
      <c r="U33" s="9" t="s">
        <v>59</v>
      </c>
      <c r="V33" s="9">
        <v>16</v>
      </c>
      <c r="W33" s="9">
        <v>19</v>
      </c>
      <c r="X33" s="9">
        <v>35</v>
      </c>
    </row>
    <row r="34" spans="1:24" x14ac:dyDescent="0.25">
      <c r="A34" s="9">
        <v>582</v>
      </c>
      <c r="B34" s="9">
        <v>1145</v>
      </c>
      <c r="C34" s="9">
        <v>1795</v>
      </c>
      <c r="D34" s="9">
        <v>1855</v>
      </c>
      <c r="E34" s="9">
        <v>2311</v>
      </c>
      <c r="F34" s="9">
        <v>2405</v>
      </c>
      <c r="G34" s="9">
        <v>3057</v>
      </c>
      <c r="H34" s="9">
        <v>3234</v>
      </c>
      <c r="I34" s="9">
        <v>1</v>
      </c>
      <c r="J34" s="11">
        <f t="shared" si="3"/>
        <v>7396</v>
      </c>
      <c r="K34" s="11">
        <f t="shared" si="3"/>
        <v>779689</v>
      </c>
      <c r="L34" s="11">
        <f t="shared" si="3"/>
        <v>25</v>
      </c>
      <c r="M34" s="9">
        <f t="shared" si="3"/>
        <v>14161</v>
      </c>
      <c r="N34" s="11">
        <f t="shared" si="3"/>
        <v>169744</v>
      </c>
      <c r="O34" s="11">
        <f t="shared" si="3"/>
        <v>9498724</v>
      </c>
      <c r="P34" s="11">
        <f t="shared" si="3"/>
        <v>61009</v>
      </c>
      <c r="Q34" s="11">
        <f t="shared" si="3"/>
        <v>8328996</v>
      </c>
      <c r="R34" s="11">
        <f t="shared" si="1"/>
        <v>18859744</v>
      </c>
      <c r="S34" s="11">
        <f t="shared" si="2"/>
        <v>4342.7806760185349</v>
      </c>
      <c r="T34" s="9">
        <v>22</v>
      </c>
      <c r="U34" s="9" t="s">
        <v>59</v>
      </c>
      <c r="V34" s="9">
        <v>16</v>
      </c>
      <c r="W34" s="9">
        <v>19</v>
      </c>
      <c r="X34" s="9">
        <v>35</v>
      </c>
    </row>
    <row r="35" spans="1:24" x14ac:dyDescent="0.25">
      <c r="A35" s="9">
        <v>658</v>
      </c>
      <c r="B35" s="9">
        <v>1995</v>
      </c>
      <c r="C35" s="9">
        <v>2588</v>
      </c>
      <c r="D35" s="9">
        <v>1804</v>
      </c>
      <c r="E35" s="9">
        <v>3415</v>
      </c>
      <c r="F35" s="9">
        <v>3384</v>
      </c>
      <c r="G35" s="9">
        <v>1661</v>
      </c>
      <c r="H35" s="9">
        <v>879</v>
      </c>
      <c r="I35" s="9">
        <v>1</v>
      </c>
      <c r="J35" s="11">
        <f t="shared" si="3"/>
        <v>26244</v>
      </c>
      <c r="K35" s="11">
        <f t="shared" si="3"/>
        <v>3003289</v>
      </c>
      <c r="L35" s="11">
        <f t="shared" si="3"/>
        <v>636804</v>
      </c>
      <c r="M35" s="9">
        <f t="shared" si="3"/>
        <v>28900</v>
      </c>
      <c r="N35" s="11">
        <f t="shared" si="3"/>
        <v>478864</v>
      </c>
      <c r="O35" s="11">
        <f t="shared" si="3"/>
        <v>4422609</v>
      </c>
      <c r="P35" s="11">
        <f t="shared" si="3"/>
        <v>2699449</v>
      </c>
      <c r="Q35" s="11">
        <f t="shared" si="3"/>
        <v>281961</v>
      </c>
      <c r="R35" s="11">
        <f t="shared" si="1"/>
        <v>11578120</v>
      </c>
      <c r="S35" s="11">
        <f t="shared" si="2"/>
        <v>3402.6636624856123</v>
      </c>
      <c r="T35" s="9">
        <v>6</v>
      </c>
      <c r="U35" s="9" t="s">
        <v>59</v>
      </c>
      <c r="V35" s="9">
        <v>16</v>
      </c>
      <c r="W35" s="9">
        <v>19</v>
      </c>
      <c r="X35" s="9">
        <v>35</v>
      </c>
    </row>
    <row r="36" spans="1:24" x14ac:dyDescent="0.25">
      <c r="A36" s="9">
        <v>1643</v>
      </c>
      <c r="B36" s="9">
        <v>1508</v>
      </c>
      <c r="C36" s="9">
        <v>1067</v>
      </c>
      <c r="D36" s="9">
        <v>1556</v>
      </c>
      <c r="E36" s="9">
        <v>2091</v>
      </c>
      <c r="F36" s="9">
        <v>1549</v>
      </c>
      <c r="G36" s="9">
        <v>2967</v>
      </c>
      <c r="H36" s="9">
        <v>4003</v>
      </c>
      <c r="I36" s="9">
        <v>1</v>
      </c>
      <c r="J36" s="11">
        <f t="shared" si="3"/>
        <v>1315609</v>
      </c>
      <c r="K36" s="11">
        <f t="shared" si="3"/>
        <v>1552516</v>
      </c>
      <c r="L36" s="11">
        <f t="shared" si="3"/>
        <v>522729</v>
      </c>
      <c r="M36" s="9">
        <f t="shared" si="3"/>
        <v>174724</v>
      </c>
      <c r="N36" s="11">
        <f t="shared" si="3"/>
        <v>399424</v>
      </c>
      <c r="O36" s="11">
        <f t="shared" si="3"/>
        <v>15507844</v>
      </c>
      <c r="P36" s="11">
        <f t="shared" si="3"/>
        <v>113569</v>
      </c>
      <c r="Q36" s="11">
        <f t="shared" si="3"/>
        <v>13359025</v>
      </c>
      <c r="R36" s="11">
        <f t="shared" si="1"/>
        <v>32945440</v>
      </c>
      <c r="S36" s="11">
        <f t="shared" si="2"/>
        <v>5739.8118436060258</v>
      </c>
      <c r="T36" s="9">
        <v>30</v>
      </c>
      <c r="U36" s="9" t="s">
        <v>59</v>
      </c>
      <c r="V36" s="9">
        <v>16</v>
      </c>
      <c r="W36" s="9">
        <v>19</v>
      </c>
      <c r="X36" s="9">
        <v>35</v>
      </c>
    </row>
    <row r="37" spans="1:24" x14ac:dyDescent="0.25">
      <c r="A37" s="9">
        <v>1420</v>
      </c>
      <c r="B37" s="9">
        <v>781</v>
      </c>
      <c r="C37" s="9">
        <v>1257</v>
      </c>
      <c r="D37" s="9">
        <v>502</v>
      </c>
      <c r="E37" s="9">
        <v>1522</v>
      </c>
      <c r="F37" s="9">
        <v>2942</v>
      </c>
      <c r="G37" s="9">
        <v>4443</v>
      </c>
      <c r="H37" s="9">
        <v>3517</v>
      </c>
      <c r="I37" s="9">
        <v>1</v>
      </c>
      <c r="J37" s="11">
        <f t="shared" si="3"/>
        <v>853776</v>
      </c>
      <c r="K37" s="11">
        <f t="shared" si="3"/>
        <v>269361</v>
      </c>
      <c r="L37" s="11">
        <f t="shared" si="3"/>
        <v>284089</v>
      </c>
      <c r="M37" s="9">
        <f t="shared" si="3"/>
        <v>2166784</v>
      </c>
      <c r="N37" s="11">
        <f t="shared" si="3"/>
        <v>1442401</v>
      </c>
      <c r="O37" s="11">
        <f t="shared" si="3"/>
        <v>6477025</v>
      </c>
      <c r="P37" s="11">
        <f t="shared" si="3"/>
        <v>1297321</v>
      </c>
      <c r="Q37" s="11">
        <f t="shared" si="3"/>
        <v>10042561</v>
      </c>
      <c r="R37" s="11">
        <f t="shared" si="1"/>
        <v>22833318</v>
      </c>
      <c r="S37" s="11">
        <f t="shared" si="2"/>
        <v>4778.4221245093031</v>
      </c>
      <c r="T37" s="9">
        <v>26</v>
      </c>
      <c r="U37" s="9" t="s">
        <v>59</v>
      </c>
      <c r="V37" s="9">
        <v>16</v>
      </c>
      <c r="W37" s="9">
        <v>19</v>
      </c>
      <c r="X37" s="9">
        <v>35</v>
      </c>
    </row>
    <row r="38" spans="1:24" x14ac:dyDescent="0.25">
      <c r="A38" s="9">
        <v>330</v>
      </c>
      <c r="B38" s="9">
        <v>1050</v>
      </c>
      <c r="C38" s="9">
        <v>1848</v>
      </c>
      <c r="D38" s="9">
        <v>2893</v>
      </c>
      <c r="E38" s="9">
        <v>1930</v>
      </c>
      <c r="F38" s="9">
        <v>2740</v>
      </c>
      <c r="G38" s="9">
        <v>2417</v>
      </c>
      <c r="H38" s="9">
        <v>3176</v>
      </c>
      <c r="I38" s="9">
        <v>1</v>
      </c>
      <c r="J38" s="11">
        <f t="shared" si="3"/>
        <v>27556</v>
      </c>
      <c r="K38" s="11">
        <f t="shared" si="3"/>
        <v>620944</v>
      </c>
      <c r="L38" s="11">
        <f t="shared" si="3"/>
        <v>3364</v>
      </c>
      <c r="M38" s="9">
        <f t="shared" si="3"/>
        <v>844561</v>
      </c>
      <c r="N38" s="11">
        <f t="shared" si="3"/>
        <v>628849</v>
      </c>
      <c r="O38" s="11">
        <f t="shared" si="3"/>
        <v>7546009</v>
      </c>
      <c r="P38" s="11">
        <f t="shared" si="3"/>
        <v>786769</v>
      </c>
      <c r="Q38" s="11">
        <f t="shared" si="3"/>
        <v>7997584</v>
      </c>
      <c r="R38" s="11">
        <f t="shared" si="1"/>
        <v>18455636</v>
      </c>
      <c r="S38" s="11">
        <f t="shared" si="2"/>
        <v>4296.0023277461105</v>
      </c>
      <c r="T38" s="9">
        <v>19</v>
      </c>
      <c r="U38" s="9" t="s">
        <v>59</v>
      </c>
      <c r="V38" s="9">
        <v>16</v>
      </c>
      <c r="W38" s="9">
        <v>19</v>
      </c>
      <c r="X38" s="9">
        <v>35</v>
      </c>
    </row>
    <row r="39" spans="1:24" x14ac:dyDescent="0.25">
      <c r="A39" s="9">
        <v>2060</v>
      </c>
      <c r="B39" s="9">
        <v>2043</v>
      </c>
      <c r="C39" s="9">
        <v>1482</v>
      </c>
      <c r="D39" s="9">
        <v>1577</v>
      </c>
      <c r="E39" s="9">
        <v>1714</v>
      </c>
      <c r="F39" s="9">
        <v>1607</v>
      </c>
      <c r="G39" s="9">
        <v>2349</v>
      </c>
      <c r="H39" s="9">
        <v>3552</v>
      </c>
      <c r="I39" s="9">
        <v>1</v>
      </c>
      <c r="J39" s="11">
        <f t="shared" si="3"/>
        <v>2446096</v>
      </c>
      <c r="K39" s="11">
        <f t="shared" si="3"/>
        <v>3171961</v>
      </c>
      <c r="L39" s="11">
        <f t="shared" si="3"/>
        <v>94864</v>
      </c>
      <c r="M39" s="9">
        <f t="shared" si="3"/>
        <v>157609</v>
      </c>
      <c r="N39" s="11">
        <f t="shared" si="3"/>
        <v>1018081</v>
      </c>
      <c r="O39" s="11">
        <f t="shared" si="3"/>
        <v>15054400</v>
      </c>
      <c r="P39" s="11">
        <f t="shared" si="3"/>
        <v>912025</v>
      </c>
      <c r="Q39" s="11">
        <f t="shared" si="3"/>
        <v>10265616</v>
      </c>
      <c r="R39" s="11">
        <f t="shared" si="1"/>
        <v>33120652</v>
      </c>
      <c r="S39" s="11">
        <f t="shared" si="2"/>
        <v>5755.0544741122994</v>
      </c>
      <c r="T39" s="9">
        <v>31</v>
      </c>
      <c r="U39" s="9" t="s">
        <v>59</v>
      </c>
      <c r="V39" s="9">
        <v>16</v>
      </c>
      <c r="W39" s="9">
        <v>19</v>
      </c>
      <c r="X39" s="9">
        <v>35</v>
      </c>
    </row>
    <row r="40" spans="1:24" x14ac:dyDescent="0.25">
      <c r="A40" s="9">
        <v>2875</v>
      </c>
      <c r="B40" s="9">
        <v>1437</v>
      </c>
      <c r="C40" s="9">
        <v>1783</v>
      </c>
      <c r="D40" s="9">
        <v>2003</v>
      </c>
      <c r="E40" s="9">
        <v>2329</v>
      </c>
      <c r="F40" s="9">
        <v>2736</v>
      </c>
      <c r="G40" s="9">
        <v>2845</v>
      </c>
      <c r="H40" s="9">
        <v>376</v>
      </c>
      <c r="I40" s="9">
        <v>1</v>
      </c>
      <c r="J40" s="11">
        <f t="shared" si="3"/>
        <v>5659641</v>
      </c>
      <c r="K40" s="11">
        <f t="shared" si="3"/>
        <v>1380625</v>
      </c>
      <c r="L40" s="11">
        <f t="shared" si="3"/>
        <v>49</v>
      </c>
      <c r="M40" s="9">
        <f t="shared" si="3"/>
        <v>841</v>
      </c>
      <c r="N40" s="11">
        <f t="shared" si="3"/>
        <v>155236</v>
      </c>
      <c r="O40" s="11">
        <f t="shared" si="3"/>
        <v>7568001</v>
      </c>
      <c r="P40" s="11">
        <f t="shared" si="3"/>
        <v>210681</v>
      </c>
      <c r="Q40" s="11">
        <f t="shared" si="3"/>
        <v>784</v>
      </c>
      <c r="R40" s="11">
        <f t="shared" si="1"/>
        <v>14975858</v>
      </c>
      <c r="S40" s="11">
        <f t="shared" si="2"/>
        <v>3869.8653723353218</v>
      </c>
      <c r="T40" s="9">
        <v>12</v>
      </c>
      <c r="U40" s="9" t="s">
        <v>59</v>
      </c>
      <c r="V40" s="9">
        <v>16</v>
      </c>
      <c r="W40" s="9">
        <v>19</v>
      </c>
      <c r="X40" s="9">
        <v>35</v>
      </c>
    </row>
    <row r="41" spans="1:24" x14ac:dyDescent="0.25">
      <c r="A41" s="9">
        <v>2442</v>
      </c>
      <c r="B41" s="9">
        <v>1502</v>
      </c>
      <c r="C41" s="9">
        <v>896</v>
      </c>
      <c r="D41" s="9">
        <v>1578</v>
      </c>
      <c r="E41" s="9">
        <v>1511</v>
      </c>
      <c r="F41" s="9">
        <v>3146</v>
      </c>
      <c r="G41" s="9">
        <v>3538</v>
      </c>
      <c r="H41" s="9">
        <v>1771</v>
      </c>
      <c r="I41" s="9">
        <v>1</v>
      </c>
      <c r="J41" s="11">
        <f t="shared" si="3"/>
        <v>3786916</v>
      </c>
      <c r="K41" s="11">
        <f t="shared" si="3"/>
        <v>1537600</v>
      </c>
      <c r="L41" s="11">
        <f t="shared" si="3"/>
        <v>799236</v>
      </c>
      <c r="M41" s="9">
        <f t="shared" si="3"/>
        <v>156816</v>
      </c>
      <c r="N41" s="11">
        <f t="shared" si="3"/>
        <v>1468944</v>
      </c>
      <c r="O41" s="11">
        <f t="shared" si="3"/>
        <v>5480281</v>
      </c>
      <c r="P41" s="11">
        <f t="shared" si="3"/>
        <v>54756</v>
      </c>
      <c r="Q41" s="11">
        <f t="shared" si="3"/>
        <v>2024929</v>
      </c>
      <c r="R41" s="11">
        <f t="shared" si="1"/>
        <v>15309478</v>
      </c>
      <c r="S41" s="11">
        <f t="shared" si="2"/>
        <v>3912.7328045753393</v>
      </c>
      <c r="T41" s="9">
        <v>14</v>
      </c>
      <c r="U41" s="9" t="s">
        <v>59</v>
      </c>
      <c r="V41" s="9">
        <v>16</v>
      </c>
      <c r="W41" s="9">
        <v>19</v>
      </c>
      <c r="X41" s="9">
        <v>35</v>
      </c>
    </row>
    <row r="42" spans="1:24" x14ac:dyDescent="0.25">
      <c r="A42" s="9">
        <v>776</v>
      </c>
      <c r="B42" s="9">
        <v>1647</v>
      </c>
      <c r="C42" s="9">
        <v>1361</v>
      </c>
      <c r="D42" s="9">
        <v>2749</v>
      </c>
      <c r="E42" s="9">
        <v>1109</v>
      </c>
      <c r="F42" s="9">
        <v>1874</v>
      </c>
      <c r="G42" s="9">
        <v>2479</v>
      </c>
      <c r="H42" s="9">
        <v>4389</v>
      </c>
      <c r="I42" s="9">
        <v>1</v>
      </c>
      <c r="J42" s="11">
        <f t="shared" si="3"/>
        <v>78400</v>
      </c>
      <c r="K42" s="11">
        <f t="shared" si="3"/>
        <v>1918225</v>
      </c>
      <c r="L42" s="11">
        <f t="shared" si="3"/>
        <v>184041</v>
      </c>
      <c r="M42" s="9">
        <f t="shared" si="3"/>
        <v>600625</v>
      </c>
      <c r="N42" s="11">
        <f t="shared" si="3"/>
        <v>2604996</v>
      </c>
      <c r="O42" s="11">
        <f t="shared" si="3"/>
        <v>13053769</v>
      </c>
      <c r="P42" s="11">
        <f t="shared" si="3"/>
        <v>680625</v>
      </c>
      <c r="Q42" s="11">
        <f t="shared" si="3"/>
        <v>16329681</v>
      </c>
      <c r="R42" s="11">
        <f t="shared" si="1"/>
        <v>35450362</v>
      </c>
      <c r="S42" s="11">
        <f t="shared" si="2"/>
        <v>5954.0206583450818</v>
      </c>
      <c r="T42" s="9">
        <v>34</v>
      </c>
      <c r="U42" s="9" t="s">
        <v>59</v>
      </c>
      <c r="V42" s="9">
        <v>16</v>
      </c>
      <c r="W42" s="9">
        <v>19</v>
      </c>
      <c r="X42" s="9">
        <v>35</v>
      </c>
    </row>
    <row r="43" spans="1:24" x14ac:dyDescent="0.25">
      <c r="A43" t="s">
        <v>20</v>
      </c>
      <c r="J43" s="1"/>
      <c r="K43" s="1"/>
      <c r="L43" s="1"/>
    </row>
    <row r="44" spans="1:24" x14ac:dyDescent="0.25">
      <c r="A44" s="4" t="s">
        <v>43</v>
      </c>
      <c r="B44" s="4" t="s">
        <v>44</v>
      </c>
      <c r="C44" s="4" t="s">
        <v>45</v>
      </c>
      <c r="D44" s="4" t="s">
        <v>46</v>
      </c>
      <c r="E44" s="4" t="s">
        <v>47</v>
      </c>
      <c r="F44" s="4" t="s">
        <v>48</v>
      </c>
      <c r="G44" s="4" t="s">
        <v>49</v>
      </c>
      <c r="H44" s="4" t="s">
        <v>50</v>
      </c>
      <c r="I44" s="4" t="s">
        <v>8</v>
      </c>
      <c r="J44" s="1"/>
      <c r="K44" s="1"/>
      <c r="L44" s="1"/>
    </row>
    <row r="45" spans="1:24" x14ac:dyDescent="0.25">
      <c r="A45" s="2">
        <v>496</v>
      </c>
      <c r="B45" s="2">
        <v>262</v>
      </c>
      <c r="C45" s="2">
        <v>1790</v>
      </c>
      <c r="D45" s="2">
        <v>1974</v>
      </c>
      <c r="E45" s="2">
        <v>2723</v>
      </c>
      <c r="F45" s="2">
        <v>5487</v>
      </c>
      <c r="G45" s="2">
        <v>3304</v>
      </c>
      <c r="H45" s="2">
        <v>348</v>
      </c>
      <c r="I45" s="3">
        <v>0</v>
      </c>
      <c r="J45" s="1"/>
      <c r="K45" s="1"/>
      <c r="L45" s="1"/>
    </row>
    <row r="46" spans="1:24" x14ac:dyDescent="0.25">
      <c r="A46" s="2">
        <v>496</v>
      </c>
      <c r="B46" s="2">
        <v>262</v>
      </c>
      <c r="C46" s="2">
        <v>1790</v>
      </c>
      <c r="D46" s="2">
        <v>1974</v>
      </c>
      <c r="E46" s="2">
        <v>2723</v>
      </c>
      <c r="F46" s="2">
        <v>5487</v>
      </c>
      <c r="G46" s="2">
        <v>3304</v>
      </c>
      <c r="H46" s="2">
        <v>348</v>
      </c>
      <c r="I46" s="3">
        <v>0</v>
      </c>
      <c r="J46" s="1"/>
      <c r="K46" s="1"/>
      <c r="L46" s="1"/>
    </row>
    <row r="47" spans="1:24" x14ac:dyDescent="0.25">
      <c r="A47" s="2">
        <v>496</v>
      </c>
      <c r="B47" s="2">
        <v>262</v>
      </c>
      <c r="C47" s="2">
        <v>1790</v>
      </c>
      <c r="D47" s="2">
        <v>1974</v>
      </c>
      <c r="E47" s="2">
        <v>2723</v>
      </c>
      <c r="F47" s="2">
        <v>5487</v>
      </c>
      <c r="G47" s="2">
        <v>3304</v>
      </c>
      <c r="H47" s="2">
        <v>348</v>
      </c>
      <c r="I47" s="3">
        <v>0</v>
      </c>
      <c r="J47" s="1"/>
      <c r="K47" s="1"/>
      <c r="L47" s="1"/>
    </row>
    <row r="48" spans="1:24" x14ac:dyDescent="0.25">
      <c r="A48" s="2">
        <v>496</v>
      </c>
      <c r="B48" s="2">
        <v>262</v>
      </c>
      <c r="C48" s="2">
        <v>1790</v>
      </c>
      <c r="D48" s="2">
        <v>1974</v>
      </c>
      <c r="E48" s="2">
        <v>2723</v>
      </c>
      <c r="F48" s="2">
        <v>5487</v>
      </c>
      <c r="G48" s="2">
        <v>3304</v>
      </c>
      <c r="H48" s="2">
        <v>348</v>
      </c>
      <c r="I48" s="3">
        <v>0</v>
      </c>
      <c r="J48" s="1"/>
      <c r="K48" s="1"/>
      <c r="L48" s="1"/>
    </row>
    <row r="49" spans="1:12" x14ac:dyDescent="0.25">
      <c r="A49" s="2">
        <v>496</v>
      </c>
      <c r="B49" s="2">
        <v>262</v>
      </c>
      <c r="C49" s="2">
        <v>1790</v>
      </c>
      <c r="D49" s="2">
        <v>1974</v>
      </c>
      <c r="E49" s="2">
        <v>2723</v>
      </c>
      <c r="F49" s="2">
        <v>5487</v>
      </c>
      <c r="G49" s="2">
        <v>3304</v>
      </c>
      <c r="H49" s="2">
        <v>348</v>
      </c>
      <c r="I49" s="3">
        <v>0</v>
      </c>
      <c r="J49" s="1"/>
      <c r="K49" s="1"/>
      <c r="L49" s="1"/>
    </row>
    <row r="50" spans="1:12" x14ac:dyDescent="0.25">
      <c r="A50" s="2">
        <v>496</v>
      </c>
      <c r="B50" s="2">
        <v>262</v>
      </c>
      <c r="C50" s="2">
        <v>1790</v>
      </c>
      <c r="D50" s="2">
        <v>1974</v>
      </c>
      <c r="E50" s="2">
        <v>2723</v>
      </c>
      <c r="F50" s="2">
        <v>5487</v>
      </c>
      <c r="G50" s="2">
        <v>3304</v>
      </c>
      <c r="H50" s="2">
        <v>348</v>
      </c>
      <c r="I50" s="3">
        <v>0</v>
      </c>
      <c r="J50" s="1"/>
      <c r="K50" s="1"/>
      <c r="L50" s="1"/>
    </row>
    <row r="51" spans="1:12" x14ac:dyDescent="0.25">
      <c r="A51" s="2">
        <v>496</v>
      </c>
      <c r="B51" s="2">
        <v>262</v>
      </c>
      <c r="C51" s="2">
        <v>1790</v>
      </c>
      <c r="D51" s="2">
        <v>1974</v>
      </c>
      <c r="E51" s="2">
        <v>2723</v>
      </c>
      <c r="F51" s="2">
        <v>5487</v>
      </c>
      <c r="G51" s="2">
        <v>3304</v>
      </c>
      <c r="H51" s="2">
        <v>348</v>
      </c>
      <c r="I51" s="3">
        <v>0</v>
      </c>
      <c r="J51" s="1"/>
      <c r="K51" s="1"/>
      <c r="L51" s="1"/>
    </row>
    <row r="52" spans="1:12" x14ac:dyDescent="0.25">
      <c r="A52" s="2">
        <v>496</v>
      </c>
      <c r="B52" s="2">
        <v>262</v>
      </c>
      <c r="C52" s="2">
        <v>1790</v>
      </c>
      <c r="D52" s="2">
        <v>1974</v>
      </c>
      <c r="E52" s="2">
        <v>2723</v>
      </c>
      <c r="F52" s="2">
        <v>5487</v>
      </c>
      <c r="G52" s="2">
        <v>3304</v>
      </c>
      <c r="H52" s="2">
        <v>348</v>
      </c>
      <c r="I52" s="3">
        <v>0</v>
      </c>
      <c r="J52" s="1"/>
      <c r="K52" s="1"/>
      <c r="L52" s="1"/>
    </row>
    <row r="53" spans="1:12" x14ac:dyDescent="0.25">
      <c r="A53" s="2">
        <v>496</v>
      </c>
      <c r="B53" s="2">
        <v>262</v>
      </c>
      <c r="C53" s="2">
        <v>1790</v>
      </c>
      <c r="D53" s="2">
        <v>1974</v>
      </c>
      <c r="E53" s="2">
        <v>2723</v>
      </c>
      <c r="F53" s="2">
        <v>5487</v>
      </c>
      <c r="G53" s="2">
        <v>3304</v>
      </c>
      <c r="H53" s="2">
        <v>348</v>
      </c>
      <c r="I53" s="3">
        <v>0</v>
      </c>
      <c r="J53" s="1"/>
      <c r="K53" s="1"/>
      <c r="L53" s="1"/>
    </row>
    <row r="54" spans="1:12" x14ac:dyDescent="0.25">
      <c r="A54" s="2">
        <v>496</v>
      </c>
      <c r="B54" s="2">
        <v>262</v>
      </c>
      <c r="C54" s="2">
        <v>1790</v>
      </c>
      <c r="D54" s="2">
        <v>1974</v>
      </c>
      <c r="E54" s="2">
        <v>2723</v>
      </c>
      <c r="F54" s="2">
        <v>5487</v>
      </c>
      <c r="G54" s="2">
        <v>3304</v>
      </c>
      <c r="H54" s="2">
        <v>348</v>
      </c>
      <c r="I54" s="3">
        <v>0</v>
      </c>
      <c r="J54" s="1"/>
      <c r="K54" s="1"/>
      <c r="L54" s="1"/>
    </row>
    <row r="55" spans="1:12" x14ac:dyDescent="0.25">
      <c r="A55" s="2">
        <v>496</v>
      </c>
      <c r="B55" s="2">
        <v>262</v>
      </c>
      <c r="C55" s="2">
        <v>1790</v>
      </c>
      <c r="D55" s="2">
        <v>1974</v>
      </c>
      <c r="E55" s="2">
        <v>2723</v>
      </c>
      <c r="F55" s="2">
        <v>5487</v>
      </c>
      <c r="G55" s="2">
        <v>3304</v>
      </c>
      <c r="H55" s="2">
        <v>348</v>
      </c>
      <c r="I55" s="3">
        <v>0</v>
      </c>
      <c r="J55" s="1"/>
      <c r="K55" s="1"/>
      <c r="L55" s="1"/>
    </row>
    <row r="56" spans="1:12" x14ac:dyDescent="0.25">
      <c r="A56" s="2">
        <v>496</v>
      </c>
      <c r="B56" s="2">
        <v>262</v>
      </c>
      <c r="C56" s="2">
        <v>1790</v>
      </c>
      <c r="D56" s="2">
        <v>1974</v>
      </c>
      <c r="E56" s="2">
        <v>2723</v>
      </c>
      <c r="F56" s="2">
        <v>5487</v>
      </c>
      <c r="G56" s="2">
        <v>3304</v>
      </c>
      <c r="H56" s="2">
        <v>348</v>
      </c>
      <c r="I56" s="3">
        <v>0</v>
      </c>
      <c r="J56" s="1"/>
      <c r="K56" s="1"/>
      <c r="L56" s="1"/>
    </row>
    <row r="57" spans="1:12" x14ac:dyDescent="0.25">
      <c r="A57" s="2">
        <v>496</v>
      </c>
      <c r="B57" s="2">
        <v>262</v>
      </c>
      <c r="C57" s="2">
        <v>1790</v>
      </c>
      <c r="D57" s="2">
        <v>1974</v>
      </c>
      <c r="E57" s="2">
        <v>2723</v>
      </c>
      <c r="F57" s="2">
        <v>5487</v>
      </c>
      <c r="G57" s="2">
        <v>3304</v>
      </c>
      <c r="H57" s="2">
        <v>348</v>
      </c>
      <c r="I57" s="3">
        <v>0</v>
      </c>
      <c r="J57" s="1"/>
      <c r="K57" s="1"/>
      <c r="L57" s="1"/>
    </row>
    <row r="58" spans="1:12" x14ac:dyDescent="0.25">
      <c r="A58" s="2">
        <v>496</v>
      </c>
      <c r="B58" s="2">
        <v>262</v>
      </c>
      <c r="C58" s="2">
        <v>1790</v>
      </c>
      <c r="D58" s="2">
        <v>1974</v>
      </c>
      <c r="E58" s="2">
        <v>2723</v>
      </c>
      <c r="F58" s="2">
        <v>5487</v>
      </c>
      <c r="G58" s="2">
        <v>3304</v>
      </c>
      <c r="H58" s="2">
        <v>348</v>
      </c>
      <c r="I58" s="3">
        <v>0</v>
      </c>
      <c r="J58" s="1"/>
      <c r="K58" s="1"/>
      <c r="L58" s="1"/>
    </row>
    <row r="59" spans="1:12" x14ac:dyDescent="0.25">
      <c r="A59" s="2">
        <v>496</v>
      </c>
      <c r="B59" s="2">
        <v>262</v>
      </c>
      <c r="C59" s="2">
        <v>1790</v>
      </c>
      <c r="D59" s="2">
        <v>1974</v>
      </c>
      <c r="E59" s="2">
        <v>2723</v>
      </c>
      <c r="F59" s="2">
        <v>5487</v>
      </c>
      <c r="G59" s="2">
        <v>3304</v>
      </c>
      <c r="H59" s="2">
        <v>348</v>
      </c>
      <c r="I59" s="3">
        <v>0</v>
      </c>
      <c r="J59" s="1"/>
      <c r="K59" s="1"/>
      <c r="L59" s="1"/>
    </row>
    <row r="60" spans="1:12" x14ac:dyDescent="0.25">
      <c r="A60" s="2">
        <v>496</v>
      </c>
      <c r="B60" s="2">
        <v>262</v>
      </c>
      <c r="C60" s="2">
        <v>1790</v>
      </c>
      <c r="D60" s="2">
        <v>1974</v>
      </c>
      <c r="E60" s="2">
        <v>2723</v>
      </c>
      <c r="F60" s="2">
        <v>5487</v>
      </c>
      <c r="G60" s="2">
        <v>3304</v>
      </c>
      <c r="H60" s="2">
        <v>348</v>
      </c>
      <c r="I60" s="3">
        <v>0</v>
      </c>
      <c r="J60" s="1"/>
      <c r="K60" s="1"/>
      <c r="L60" s="1"/>
    </row>
    <row r="61" spans="1:12" x14ac:dyDescent="0.25">
      <c r="A61" s="2">
        <v>496</v>
      </c>
      <c r="B61" s="2">
        <v>262</v>
      </c>
      <c r="C61" s="2">
        <v>1790</v>
      </c>
      <c r="D61" s="2">
        <v>1974</v>
      </c>
      <c r="E61" s="2">
        <v>2723</v>
      </c>
      <c r="F61" s="2">
        <v>5487</v>
      </c>
      <c r="G61" s="2">
        <v>3304</v>
      </c>
      <c r="H61" s="2">
        <v>348</v>
      </c>
      <c r="I61" s="3">
        <v>0</v>
      </c>
      <c r="J61" s="1"/>
      <c r="K61" s="1"/>
      <c r="L61" s="1"/>
    </row>
    <row r="62" spans="1:12" x14ac:dyDescent="0.25">
      <c r="A62" s="2">
        <v>496</v>
      </c>
      <c r="B62" s="2">
        <v>262</v>
      </c>
      <c r="C62" s="2">
        <v>1790</v>
      </c>
      <c r="D62" s="2">
        <v>1974</v>
      </c>
      <c r="E62" s="2">
        <v>2723</v>
      </c>
      <c r="F62" s="2">
        <v>5487</v>
      </c>
      <c r="G62" s="2">
        <v>3304</v>
      </c>
      <c r="H62" s="2">
        <v>348</v>
      </c>
      <c r="I62" s="3">
        <v>0</v>
      </c>
      <c r="J62" s="1"/>
      <c r="K62" s="1"/>
      <c r="L62" s="1"/>
    </row>
    <row r="63" spans="1:12" x14ac:dyDescent="0.25">
      <c r="A63" s="2">
        <v>496</v>
      </c>
      <c r="B63" s="2">
        <v>262</v>
      </c>
      <c r="C63" s="2">
        <v>1790</v>
      </c>
      <c r="D63" s="2">
        <v>1974</v>
      </c>
      <c r="E63" s="2">
        <v>2723</v>
      </c>
      <c r="F63" s="2">
        <v>5487</v>
      </c>
      <c r="G63" s="2">
        <v>3304</v>
      </c>
      <c r="H63" s="2">
        <v>348</v>
      </c>
      <c r="I63" s="3">
        <v>0</v>
      </c>
      <c r="J63" s="1"/>
      <c r="K63" s="1"/>
      <c r="L63" s="1"/>
    </row>
    <row r="64" spans="1:12" x14ac:dyDescent="0.25">
      <c r="A64" s="2">
        <v>496</v>
      </c>
      <c r="B64" s="2">
        <v>262</v>
      </c>
      <c r="C64" s="2">
        <v>1790</v>
      </c>
      <c r="D64" s="2">
        <v>1974</v>
      </c>
      <c r="E64" s="2">
        <v>2723</v>
      </c>
      <c r="F64" s="2">
        <v>5487</v>
      </c>
      <c r="G64" s="2">
        <v>3304</v>
      </c>
      <c r="H64" s="2">
        <v>348</v>
      </c>
      <c r="I64" s="3">
        <v>0</v>
      </c>
      <c r="J64" s="1"/>
      <c r="K64" s="1"/>
      <c r="L64" s="1"/>
    </row>
    <row r="65" spans="1:12" x14ac:dyDescent="0.25">
      <c r="A65" s="2">
        <v>496</v>
      </c>
      <c r="B65" s="2">
        <v>262</v>
      </c>
      <c r="C65" s="2">
        <v>1790</v>
      </c>
      <c r="D65" s="2">
        <v>1974</v>
      </c>
      <c r="E65" s="2">
        <v>2723</v>
      </c>
      <c r="F65" s="2">
        <v>5487</v>
      </c>
      <c r="G65" s="2">
        <v>3304</v>
      </c>
      <c r="H65" s="2">
        <v>348</v>
      </c>
      <c r="I65" s="3">
        <v>0</v>
      </c>
      <c r="J65" s="1"/>
      <c r="K65" s="1"/>
      <c r="L65" s="1"/>
    </row>
    <row r="66" spans="1:12" x14ac:dyDescent="0.25">
      <c r="A66" s="2">
        <v>496</v>
      </c>
      <c r="B66" s="2">
        <v>262</v>
      </c>
      <c r="C66" s="2">
        <v>1790</v>
      </c>
      <c r="D66" s="2">
        <v>1974</v>
      </c>
      <c r="E66" s="2">
        <v>2723</v>
      </c>
      <c r="F66" s="2">
        <v>5487</v>
      </c>
      <c r="G66" s="2">
        <v>3304</v>
      </c>
      <c r="H66" s="2">
        <v>348</v>
      </c>
      <c r="I66" s="3">
        <v>0</v>
      </c>
      <c r="J66" s="1"/>
      <c r="K66" s="1"/>
      <c r="L66" s="1"/>
    </row>
    <row r="67" spans="1:12" x14ac:dyDescent="0.25">
      <c r="A67" s="2">
        <v>496</v>
      </c>
      <c r="B67" s="2">
        <v>262</v>
      </c>
      <c r="C67" s="2">
        <v>1790</v>
      </c>
      <c r="D67" s="2">
        <v>1974</v>
      </c>
      <c r="E67" s="2">
        <v>2723</v>
      </c>
      <c r="F67" s="2">
        <v>5487</v>
      </c>
      <c r="G67" s="2">
        <v>3304</v>
      </c>
      <c r="H67" s="2">
        <v>348</v>
      </c>
      <c r="I67" s="3">
        <v>0</v>
      </c>
      <c r="J67" s="1"/>
      <c r="K67" s="1"/>
      <c r="L67" s="1"/>
    </row>
    <row r="68" spans="1:12" x14ac:dyDescent="0.25">
      <c r="A68" s="2">
        <v>496</v>
      </c>
      <c r="B68" s="2">
        <v>262</v>
      </c>
      <c r="C68" s="2">
        <v>1790</v>
      </c>
      <c r="D68" s="2">
        <v>1974</v>
      </c>
      <c r="E68" s="2">
        <v>2723</v>
      </c>
      <c r="F68" s="2">
        <v>5487</v>
      </c>
      <c r="G68" s="2">
        <v>3304</v>
      </c>
      <c r="H68" s="2">
        <v>348</v>
      </c>
      <c r="I68" s="3">
        <v>0</v>
      </c>
      <c r="J68" s="1"/>
      <c r="K68" s="1"/>
      <c r="L68" s="1"/>
    </row>
    <row r="69" spans="1:12" x14ac:dyDescent="0.25">
      <c r="A69" s="2">
        <v>496</v>
      </c>
      <c r="B69" s="2">
        <v>262</v>
      </c>
      <c r="C69" s="2">
        <v>1790</v>
      </c>
      <c r="D69" s="2">
        <v>1974</v>
      </c>
      <c r="E69" s="2">
        <v>2723</v>
      </c>
      <c r="F69" s="2">
        <v>5487</v>
      </c>
      <c r="G69" s="2">
        <v>3304</v>
      </c>
      <c r="H69" s="2">
        <v>348</v>
      </c>
      <c r="I69" s="3">
        <v>0</v>
      </c>
      <c r="J69" s="1"/>
      <c r="K69" s="1"/>
      <c r="L69" s="1"/>
    </row>
    <row r="70" spans="1:12" x14ac:dyDescent="0.25">
      <c r="A70" s="2">
        <v>496</v>
      </c>
      <c r="B70" s="2">
        <v>262</v>
      </c>
      <c r="C70" s="2">
        <v>1790</v>
      </c>
      <c r="D70" s="2">
        <v>1974</v>
      </c>
      <c r="E70" s="2">
        <v>2723</v>
      </c>
      <c r="F70" s="2">
        <v>5487</v>
      </c>
      <c r="G70" s="2">
        <v>3304</v>
      </c>
      <c r="H70" s="2">
        <v>348</v>
      </c>
      <c r="I70" s="3">
        <v>0</v>
      </c>
      <c r="J70" s="1"/>
      <c r="K70" s="1"/>
      <c r="L70" s="1"/>
    </row>
    <row r="71" spans="1:12" x14ac:dyDescent="0.25">
      <c r="A71" s="2">
        <v>496</v>
      </c>
      <c r="B71" s="2">
        <v>262</v>
      </c>
      <c r="C71" s="2">
        <v>1790</v>
      </c>
      <c r="D71" s="2">
        <v>1974</v>
      </c>
      <c r="E71" s="2">
        <v>2723</v>
      </c>
      <c r="F71" s="2">
        <v>5487</v>
      </c>
      <c r="G71" s="2">
        <v>3304</v>
      </c>
      <c r="H71" s="2">
        <v>348</v>
      </c>
      <c r="I71" s="3">
        <v>0</v>
      </c>
      <c r="J71" s="1"/>
      <c r="K71" s="1"/>
      <c r="L71" s="1"/>
    </row>
    <row r="72" spans="1:12" x14ac:dyDescent="0.25">
      <c r="A72" s="2">
        <v>496</v>
      </c>
      <c r="B72" s="2">
        <v>262</v>
      </c>
      <c r="C72" s="2">
        <v>1790</v>
      </c>
      <c r="D72" s="2">
        <v>1974</v>
      </c>
      <c r="E72" s="2">
        <v>2723</v>
      </c>
      <c r="F72" s="2">
        <v>5487</v>
      </c>
      <c r="G72" s="2">
        <v>3304</v>
      </c>
      <c r="H72" s="2">
        <v>348</v>
      </c>
      <c r="I72" s="3">
        <v>0</v>
      </c>
      <c r="J72" s="1"/>
      <c r="K72" s="1"/>
      <c r="L72" s="1"/>
    </row>
    <row r="73" spans="1:12" x14ac:dyDescent="0.25">
      <c r="A73" s="2">
        <v>496</v>
      </c>
      <c r="B73" s="2">
        <v>262</v>
      </c>
      <c r="C73" s="2">
        <v>1790</v>
      </c>
      <c r="D73" s="2">
        <v>1974</v>
      </c>
      <c r="E73" s="2">
        <v>2723</v>
      </c>
      <c r="F73" s="2">
        <v>5487</v>
      </c>
      <c r="G73" s="2">
        <v>3304</v>
      </c>
      <c r="H73" s="2">
        <v>348</v>
      </c>
      <c r="I73" s="3">
        <v>0</v>
      </c>
      <c r="J73" s="1"/>
      <c r="K73" s="1"/>
      <c r="L73" s="1"/>
    </row>
    <row r="74" spans="1:12" x14ac:dyDescent="0.25">
      <c r="A74" s="2">
        <v>496</v>
      </c>
      <c r="B74" s="2">
        <v>262</v>
      </c>
      <c r="C74" s="2">
        <v>1790</v>
      </c>
      <c r="D74" s="2">
        <v>1974</v>
      </c>
      <c r="E74" s="2">
        <v>2723</v>
      </c>
      <c r="F74" s="2">
        <v>5487</v>
      </c>
      <c r="G74" s="2">
        <v>3304</v>
      </c>
      <c r="H74" s="2">
        <v>348</v>
      </c>
      <c r="I74" s="3">
        <v>0</v>
      </c>
      <c r="J74" s="1"/>
      <c r="K74" s="1"/>
      <c r="L74" s="1"/>
    </row>
    <row r="75" spans="1:12" x14ac:dyDescent="0.25">
      <c r="A75" s="2">
        <v>496</v>
      </c>
      <c r="B75" s="2">
        <v>262</v>
      </c>
      <c r="C75" s="2">
        <v>1790</v>
      </c>
      <c r="D75" s="2">
        <v>1974</v>
      </c>
      <c r="E75" s="2">
        <v>2723</v>
      </c>
      <c r="F75" s="2">
        <v>5487</v>
      </c>
      <c r="G75" s="2">
        <v>3304</v>
      </c>
      <c r="H75" s="2">
        <v>348</v>
      </c>
      <c r="I75" s="3">
        <v>0</v>
      </c>
      <c r="J75" s="1"/>
      <c r="K75" s="1"/>
      <c r="L75" s="1"/>
    </row>
    <row r="76" spans="1:12" x14ac:dyDescent="0.25">
      <c r="A76" s="2">
        <v>496</v>
      </c>
      <c r="B76" s="2">
        <v>262</v>
      </c>
      <c r="C76" s="2">
        <v>1790</v>
      </c>
      <c r="D76" s="2">
        <v>1974</v>
      </c>
      <c r="E76" s="2">
        <v>2723</v>
      </c>
      <c r="F76" s="2">
        <v>5487</v>
      </c>
      <c r="G76" s="2">
        <v>3304</v>
      </c>
      <c r="H76" s="2">
        <v>348</v>
      </c>
      <c r="I76" s="3">
        <v>0</v>
      </c>
      <c r="J76" s="1"/>
      <c r="K76" s="1"/>
      <c r="L76" s="1"/>
    </row>
    <row r="77" spans="1:12" x14ac:dyDescent="0.25">
      <c r="A77" s="2">
        <v>496</v>
      </c>
      <c r="B77" s="2">
        <v>262</v>
      </c>
      <c r="C77" s="2">
        <v>1790</v>
      </c>
      <c r="D77" s="2">
        <v>1974</v>
      </c>
      <c r="E77" s="2">
        <v>2723</v>
      </c>
      <c r="F77" s="2">
        <v>5487</v>
      </c>
      <c r="G77" s="2">
        <v>3304</v>
      </c>
      <c r="H77" s="2">
        <v>348</v>
      </c>
      <c r="I77" s="3">
        <v>0</v>
      </c>
      <c r="J77" s="1"/>
      <c r="K77" s="1"/>
      <c r="L77" s="1"/>
    </row>
    <row r="78" spans="1:12" x14ac:dyDescent="0.25">
      <c r="A78" s="2">
        <v>496</v>
      </c>
      <c r="B78" s="2">
        <v>262</v>
      </c>
      <c r="C78" s="2">
        <v>1790</v>
      </c>
      <c r="D78" s="2">
        <v>1974</v>
      </c>
      <c r="E78" s="2">
        <v>2723</v>
      </c>
      <c r="F78" s="2">
        <v>5487</v>
      </c>
      <c r="G78" s="2">
        <v>3304</v>
      </c>
      <c r="H78" s="2">
        <v>348</v>
      </c>
      <c r="I78" s="3">
        <v>0</v>
      </c>
      <c r="J78" s="1"/>
      <c r="K78" s="1"/>
      <c r="L78" s="1"/>
    </row>
    <row r="79" spans="1:12" x14ac:dyDescent="0.25">
      <c r="A79" s="2">
        <v>496</v>
      </c>
      <c r="B79" s="2">
        <v>262</v>
      </c>
      <c r="C79" s="2">
        <v>1790</v>
      </c>
      <c r="D79" s="2">
        <v>1974</v>
      </c>
      <c r="E79" s="2">
        <v>2723</v>
      </c>
      <c r="F79" s="2">
        <v>5487</v>
      </c>
      <c r="G79" s="2">
        <v>3304</v>
      </c>
      <c r="H79" s="2">
        <v>348</v>
      </c>
      <c r="I79" s="3">
        <v>0</v>
      </c>
      <c r="J79" s="1"/>
      <c r="K79" s="1"/>
      <c r="L79" s="1"/>
    </row>
    <row r="80" spans="1:12" x14ac:dyDescent="0.25">
      <c r="A80" s="2">
        <v>496</v>
      </c>
      <c r="B80" s="2">
        <v>262</v>
      </c>
      <c r="C80" s="2">
        <v>1790</v>
      </c>
      <c r="D80" s="2">
        <v>1974</v>
      </c>
      <c r="E80" s="2">
        <v>2723</v>
      </c>
      <c r="F80" s="2">
        <v>5487</v>
      </c>
      <c r="G80" s="2">
        <v>3304</v>
      </c>
      <c r="H80" s="2">
        <v>348</v>
      </c>
      <c r="I80" s="3">
        <v>0</v>
      </c>
      <c r="J80" s="1"/>
      <c r="K80" s="1"/>
      <c r="L80" s="1"/>
    </row>
    <row r="81" spans="1:12" x14ac:dyDescent="0.25">
      <c r="A81" s="2">
        <v>496</v>
      </c>
      <c r="B81" s="2">
        <v>262</v>
      </c>
      <c r="C81" s="2">
        <v>1790</v>
      </c>
      <c r="D81" s="2">
        <v>1974</v>
      </c>
      <c r="E81" s="2">
        <v>2723</v>
      </c>
      <c r="F81" s="2">
        <v>5487</v>
      </c>
      <c r="G81" s="2">
        <v>3304</v>
      </c>
      <c r="H81" s="2">
        <v>348</v>
      </c>
      <c r="I81" s="3">
        <v>0</v>
      </c>
      <c r="J81" s="1"/>
      <c r="K81" s="1"/>
      <c r="L81" s="1"/>
    </row>
    <row r="82" spans="1:12" x14ac:dyDescent="0.25">
      <c r="A82" s="2">
        <v>496</v>
      </c>
      <c r="B82" s="2">
        <v>262</v>
      </c>
      <c r="C82" s="2">
        <v>1790</v>
      </c>
      <c r="D82" s="2">
        <v>1974</v>
      </c>
      <c r="E82" s="2">
        <v>2723</v>
      </c>
      <c r="F82" s="2">
        <v>5487</v>
      </c>
      <c r="G82" s="2">
        <v>3304</v>
      </c>
      <c r="H82" s="2">
        <v>348</v>
      </c>
      <c r="I82" s="3">
        <v>0</v>
      </c>
      <c r="J82" s="1"/>
      <c r="K82" s="1"/>
      <c r="L82" s="1"/>
    </row>
    <row r="83" spans="1:12" x14ac:dyDescent="0.25">
      <c r="A83" s="2">
        <v>496</v>
      </c>
      <c r="B83" s="2">
        <v>262</v>
      </c>
      <c r="C83" s="2">
        <v>1790</v>
      </c>
      <c r="D83" s="2">
        <v>1974</v>
      </c>
      <c r="E83" s="2">
        <v>2723</v>
      </c>
      <c r="F83" s="2">
        <v>5487</v>
      </c>
      <c r="G83" s="2">
        <v>3304</v>
      </c>
      <c r="H83" s="2">
        <v>348</v>
      </c>
      <c r="I83" s="3">
        <v>0</v>
      </c>
      <c r="J83" s="1"/>
      <c r="K83" s="1"/>
      <c r="L83" s="1"/>
    </row>
    <row r="84" spans="1:12" x14ac:dyDescent="0.25">
      <c r="A84" s="2">
        <v>496</v>
      </c>
      <c r="B84" s="2">
        <v>262</v>
      </c>
      <c r="C84" s="2">
        <v>1790</v>
      </c>
      <c r="D84" s="2">
        <v>1974</v>
      </c>
      <c r="E84" s="2">
        <v>2723</v>
      </c>
      <c r="F84" s="2">
        <v>5487</v>
      </c>
      <c r="G84" s="2">
        <v>3304</v>
      </c>
      <c r="H84" s="2">
        <v>348</v>
      </c>
      <c r="I84" s="3">
        <v>0</v>
      </c>
      <c r="J84" s="1"/>
      <c r="K84" s="1"/>
      <c r="L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59BF-0E54-4DDF-909E-79CBA35ABEE0}">
  <dimension ref="A1:X84"/>
  <sheetViews>
    <sheetView zoomScale="70" zoomScaleNormal="70" workbookViewId="0">
      <selection activeCell="X4" sqref="X4"/>
    </sheetView>
  </sheetViews>
  <sheetFormatPr defaultRowHeight="15" x14ac:dyDescent="0.25"/>
  <cols>
    <col min="10" max="11" width="13.140625" bestFit="1" customWidth="1"/>
    <col min="12" max="12" width="13.5703125" bestFit="1" customWidth="1"/>
    <col min="13" max="13" width="11.140625" bestFit="1" customWidth="1"/>
    <col min="14" max="14" width="13.140625" bestFit="1" customWidth="1"/>
    <col min="15" max="15" width="14" bestFit="1" customWidth="1"/>
    <col min="16" max="16" width="14.42578125" bestFit="1" customWidth="1"/>
    <col min="17" max="17" width="14" bestFit="1" customWidth="1"/>
    <col min="18" max="18" width="14.42578125" bestFit="1" customWidth="1"/>
    <col min="20" max="20" width="10.28515625" bestFit="1" customWidth="1"/>
    <col min="21" max="21" width="7.85546875" customWidth="1"/>
    <col min="22" max="22" width="6" customWidth="1"/>
    <col min="23" max="23" width="5.42578125" customWidth="1"/>
    <col min="24" max="24" width="3.85546875" bestFit="1" customWidth="1"/>
  </cols>
  <sheetData>
    <row r="1" spans="1:24" x14ac:dyDescent="0.25">
      <c r="A1" t="s">
        <v>26</v>
      </c>
      <c r="J1" s="1"/>
      <c r="K1" s="1"/>
      <c r="L1" s="1"/>
    </row>
    <row r="2" spans="1:24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14" t="s">
        <v>9</v>
      </c>
      <c r="U2" s="14" t="s">
        <v>55</v>
      </c>
      <c r="V2" s="14" t="s">
        <v>56</v>
      </c>
      <c r="W2" s="14" t="s">
        <v>57</v>
      </c>
      <c r="X2" s="14" t="s">
        <v>58</v>
      </c>
    </row>
    <row r="3" spans="1:24" x14ac:dyDescent="0.25">
      <c r="A3" s="8">
        <v>546</v>
      </c>
      <c r="B3" s="8">
        <v>671</v>
      </c>
      <c r="C3" s="8">
        <v>988</v>
      </c>
      <c r="D3" s="8">
        <v>1770</v>
      </c>
      <c r="E3" s="8">
        <v>3421</v>
      </c>
      <c r="F3" s="8">
        <v>2923</v>
      </c>
      <c r="G3" s="8">
        <v>3321</v>
      </c>
      <c r="H3" s="8">
        <v>2744</v>
      </c>
      <c r="I3" s="8">
        <v>0</v>
      </c>
      <c r="J3" s="10">
        <f t="shared" ref="J3:Q18" si="0">SUMSQ(A3-A45)</f>
        <v>1968409</v>
      </c>
      <c r="K3" s="10">
        <f t="shared" si="0"/>
        <v>839056</v>
      </c>
      <c r="L3" s="10">
        <f t="shared" si="0"/>
        <v>90601</v>
      </c>
      <c r="M3" s="8">
        <f t="shared" si="0"/>
        <v>50625</v>
      </c>
      <c r="N3" s="10">
        <f t="shared" si="0"/>
        <v>1615441</v>
      </c>
      <c r="O3" s="10">
        <f t="shared" si="0"/>
        <v>1249924</v>
      </c>
      <c r="P3" s="10">
        <f t="shared" si="0"/>
        <v>1505529</v>
      </c>
      <c r="Q3" s="10">
        <f t="shared" si="0"/>
        <v>1490841</v>
      </c>
      <c r="R3" s="10">
        <f>SUM(J3:Q3)</f>
        <v>8810426</v>
      </c>
      <c r="S3" s="8">
        <f>SQRT(R3)</f>
        <v>2968.2361765870314</v>
      </c>
      <c r="T3" s="8">
        <v>11</v>
      </c>
      <c r="U3" s="8" t="s">
        <v>59</v>
      </c>
      <c r="V3" s="8">
        <v>16</v>
      </c>
      <c r="W3" s="8">
        <v>19</v>
      </c>
      <c r="X3" s="8">
        <v>35</v>
      </c>
    </row>
    <row r="4" spans="1:24" x14ac:dyDescent="0.25">
      <c r="A4" s="8">
        <v>410</v>
      </c>
      <c r="B4" s="8">
        <v>611</v>
      </c>
      <c r="C4" s="8">
        <v>1584</v>
      </c>
      <c r="D4" s="8">
        <v>1218</v>
      </c>
      <c r="E4" s="8">
        <v>2402</v>
      </c>
      <c r="F4" s="8">
        <v>2945</v>
      </c>
      <c r="G4" s="8">
        <v>5195</v>
      </c>
      <c r="H4" s="8">
        <v>2019</v>
      </c>
      <c r="I4" s="8">
        <v>0</v>
      </c>
      <c r="J4" s="10">
        <f t="shared" si="0"/>
        <v>2368521</v>
      </c>
      <c r="K4" s="10">
        <f t="shared" si="0"/>
        <v>952576</v>
      </c>
      <c r="L4" s="10">
        <f t="shared" si="0"/>
        <v>87025</v>
      </c>
      <c r="M4" s="8">
        <f t="shared" si="0"/>
        <v>106929</v>
      </c>
      <c r="N4" s="10">
        <f t="shared" si="0"/>
        <v>63504</v>
      </c>
      <c r="O4" s="10">
        <f t="shared" si="0"/>
        <v>1299600</v>
      </c>
      <c r="P4" s="10">
        <f t="shared" si="0"/>
        <v>9616201</v>
      </c>
      <c r="Q4" s="10">
        <f t="shared" si="0"/>
        <v>3786916</v>
      </c>
      <c r="R4" s="10">
        <f t="shared" ref="R4:R42" si="1">SUM(J4:Q4)</f>
        <v>18281272</v>
      </c>
      <c r="S4" s="8">
        <f t="shared" ref="S4:S42" si="2">SQRT(R4)</f>
        <v>4275.6604168245167</v>
      </c>
      <c r="T4" s="8">
        <v>30</v>
      </c>
      <c r="U4" s="8" t="s">
        <v>59</v>
      </c>
      <c r="V4" s="8">
        <v>16</v>
      </c>
      <c r="W4" s="8">
        <v>19</v>
      </c>
      <c r="X4" s="8">
        <v>35</v>
      </c>
    </row>
    <row r="5" spans="1:24" x14ac:dyDescent="0.25">
      <c r="A5" s="2">
        <v>553</v>
      </c>
      <c r="B5" s="2">
        <v>991</v>
      </c>
      <c r="C5" s="2">
        <v>815</v>
      </c>
      <c r="D5" s="2">
        <v>515</v>
      </c>
      <c r="E5" s="2">
        <v>1929</v>
      </c>
      <c r="F5" s="2">
        <v>7243</v>
      </c>
      <c r="G5" s="2">
        <v>3878</v>
      </c>
      <c r="H5" s="2">
        <v>460</v>
      </c>
      <c r="I5" s="2">
        <v>0</v>
      </c>
      <c r="J5" s="7">
        <f t="shared" si="0"/>
        <v>1948816</v>
      </c>
      <c r="K5" s="7">
        <f t="shared" si="0"/>
        <v>355216</v>
      </c>
      <c r="L5" s="7">
        <f t="shared" si="0"/>
        <v>224676</v>
      </c>
      <c r="M5" s="2">
        <f t="shared" si="0"/>
        <v>1060900</v>
      </c>
      <c r="N5" s="7">
        <f t="shared" si="0"/>
        <v>48841</v>
      </c>
      <c r="O5" s="7">
        <f t="shared" si="0"/>
        <v>29571844</v>
      </c>
      <c r="P5" s="7">
        <f t="shared" si="0"/>
        <v>3182656</v>
      </c>
      <c r="Q5" s="7">
        <f t="shared" si="0"/>
        <v>12285025</v>
      </c>
      <c r="R5" s="7">
        <f t="shared" si="1"/>
        <v>48677974</v>
      </c>
      <c r="S5" s="2">
        <f t="shared" si="2"/>
        <v>6976.9602263449951</v>
      </c>
      <c r="T5" s="2">
        <v>39</v>
      </c>
      <c r="U5" s="2" t="s">
        <v>60</v>
      </c>
      <c r="V5" s="2">
        <v>16</v>
      </c>
      <c r="W5" s="2">
        <v>19</v>
      </c>
      <c r="X5" s="2">
        <v>35</v>
      </c>
    </row>
    <row r="6" spans="1:24" x14ac:dyDescent="0.25">
      <c r="A6" s="8">
        <v>605</v>
      </c>
      <c r="B6" s="8">
        <v>894</v>
      </c>
      <c r="C6" s="8">
        <v>183</v>
      </c>
      <c r="D6" s="8">
        <v>1122</v>
      </c>
      <c r="E6" s="8">
        <v>1525</v>
      </c>
      <c r="F6" s="8">
        <v>3567</v>
      </c>
      <c r="G6" s="8">
        <v>4376</v>
      </c>
      <c r="H6" s="8">
        <v>4112</v>
      </c>
      <c r="I6" s="8">
        <v>0</v>
      </c>
      <c r="J6" s="10">
        <f t="shared" si="0"/>
        <v>1806336</v>
      </c>
      <c r="K6" s="10">
        <f t="shared" si="0"/>
        <v>480249</v>
      </c>
      <c r="L6" s="10">
        <f t="shared" si="0"/>
        <v>1223236</v>
      </c>
      <c r="M6" s="8">
        <f t="shared" si="0"/>
        <v>178929</v>
      </c>
      <c r="N6" s="10">
        <f t="shared" si="0"/>
        <v>390625</v>
      </c>
      <c r="O6" s="10">
        <f t="shared" si="0"/>
        <v>3104644</v>
      </c>
      <c r="P6" s="10">
        <f t="shared" si="0"/>
        <v>5207524</v>
      </c>
      <c r="Q6" s="10">
        <f t="shared" si="0"/>
        <v>21609</v>
      </c>
      <c r="R6" s="10">
        <f t="shared" si="1"/>
        <v>12413152</v>
      </c>
      <c r="S6" s="8">
        <f t="shared" si="2"/>
        <v>3523.2303359275279</v>
      </c>
      <c r="T6" s="8">
        <v>20</v>
      </c>
      <c r="U6" s="8" t="s">
        <v>59</v>
      </c>
      <c r="V6" s="8">
        <v>16</v>
      </c>
      <c r="W6" s="8">
        <v>19</v>
      </c>
      <c r="X6" s="8">
        <v>35</v>
      </c>
    </row>
    <row r="7" spans="1:24" x14ac:dyDescent="0.25">
      <c r="A7" s="8">
        <v>1239</v>
      </c>
      <c r="B7" s="8">
        <v>4272</v>
      </c>
      <c r="C7" s="8">
        <v>1406</v>
      </c>
      <c r="D7" s="8">
        <v>1589</v>
      </c>
      <c r="E7" s="8">
        <v>1491</v>
      </c>
      <c r="F7" s="8">
        <v>2305</v>
      </c>
      <c r="G7" s="8">
        <v>3062</v>
      </c>
      <c r="H7" s="8">
        <v>1020</v>
      </c>
      <c r="I7" s="8">
        <v>0</v>
      </c>
      <c r="J7" s="10">
        <f t="shared" si="0"/>
        <v>504100</v>
      </c>
      <c r="K7" s="10">
        <f t="shared" si="0"/>
        <v>7209225</v>
      </c>
      <c r="L7" s="10">
        <f t="shared" si="0"/>
        <v>13689</v>
      </c>
      <c r="M7" s="8">
        <f t="shared" si="0"/>
        <v>1936</v>
      </c>
      <c r="N7" s="10">
        <f t="shared" si="0"/>
        <v>434281</v>
      </c>
      <c r="O7" s="10">
        <f t="shared" si="0"/>
        <v>250000</v>
      </c>
      <c r="P7" s="10">
        <f t="shared" si="0"/>
        <v>937024</v>
      </c>
      <c r="Q7" s="10">
        <f t="shared" si="0"/>
        <v>8673025</v>
      </c>
      <c r="R7" s="10">
        <f t="shared" si="1"/>
        <v>18023280</v>
      </c>
      <c r="S7" s="8">
        <f t="shared" si="2"/>
        <v>4245.3833749144496</v>
      </c>
      <c r="T7" s="8">
        <v>29</v>
      </c>
      <c r="U7" s="8" t="s">
        <v>59</v>
      </c>
      <c r="V7" s="8">
        <v>16</v>
      </c>
      <c r="W7" s="8">
        <v>19</v>
      </c>
      <c r="X7" s="8">
        <v>35</v>
      </c>
    </row>
    <row r="8" spans="1:24" x14ac:dyDescent="0.25">
      <c r="A8" s="8">
        <v>1635</v>
      </c>
      <c r="B8" s="8">
        <v>1077</v>
      </c>
      <c r="C8" s="8">
        <v>1256</v>
      </c>
      <c r="D8" s="8">
        <v>1583</v>
      </c>
      <c r="E8" s="8">
        <v>2449</v>
      </c>
      <c r="F8" s="8">
        <v>2358</v>
      </c>
      <c r="G8" s="8">
        <v>2912</v>
      </c>
      <c r="H8" s="8">
        <v>3114</v>
      </c>
      <c r="I8" s="8">
        <v>0</v>
      </c>
      <c r="J8" s="10">
        <f t="shared" si="0"/>
        <v>98596</v>
      </c>
      <c r="K8" s="10">
        <f t="shared" si="0"/>
        <v>260100</v>
      </c>
      <c r="L8" s="10">
        <f t="shared" si="0"/>
        <v>1089</v>
      </c>
      <c r="M8" s="8">
        <f t="shared" si="0"/>
        <v>1444</v>
      </c>
      <c r="N8" s="10">
        <f t="shared" si="0"/>
        <v>89401</v>
      </c>
      <c r="O8" s="10">
        <f t="shared" si="0"/>
        <v>305809</v>
      </c>
      <c r="P8" s="10">
        <f t="shared" si="0"/>
        <v>669124</v>
      </c>
      <c r="Q8" s="10">
        <f t="shared" si="0"/>
        <v>724201</v>
      </c>
      <c r="R8" s="10">
        <f t="shared" si="1"/>
        <v>2149764</v>
      </c>
      <c r="S8" s="8">
        <f t="shared" si="2"/>
        <v>1466.2073523209465</v>
      </c>
      <c r="T8" s="8">
        <v>3</v>
      </c>
      <c r="U8" s="8" t="s">
        <v>59</v>
      </c>
      <c r="V8" s="8">
        <v>16</v>
      </c>
      <c r="W8" s="8">
        <v>19</v>
      </c>
      <c r="X8" s="8">
        <v>35</v>
      </c>
    </row>
    <row r="9" spans="1:24" x14ac:dyDescent="0.25">
      <c r="A9" s="8">
        <v>1731</v>
      </c>
      <c r="B9" s="8">
        <v>1316</v>
      </c>
      <c r="C9" s="8">
        <v>3307</v>
      </c>
      <c r="D9" s="8">
        <v>1502</v>
      </c>
      <c r="E9" s="8">
        <v>1357</v>
      </c>
      <c r="F9" s="8">
        <v>2125</v>
      </c>
      <c r="G9" s="8">
        <v>3011</v>
      </c>
      <c r="H9" s="8">
        <v>2035</v>
      </c>
      <c r="I9" s="8">
        <v>0</v>
      </c>
      <c r="J9" s="10">
        <f t="shared" si="0"/>
        <v>47524</v>
      </c>
      <c r="K9" s="10">
        <f t="shared" si="0"/>
        <v>73441</v>
      </c>
      <c r="L9" s="10">
        <f t="shared" si="0"/>
        <v>4072324</v>
      </c>
      <c r="M9" s="8">
        <f t="shared" si="0"/>
        <v>1849</v>
      </c>
      <c r="N9" s="10">
        <f t="shared" si="0"/>
        <v>628849</v>
      </c>
      <c r="O9" s="10">
        <f t="shared" si="0"/>
        <v>102400</v>
      </c>
      <c r="P9" s="10">
        <f t="shared" si="0"/>
        <v>840889</v>
      </c>
      <c r="Q9" s="10">
        <f t="shared" si="0"/>
        <v>3724900</v>
      </c>
      <c r="R9" s="10">
        <f t="shared" si="1"/>
        <v>9492176</v>
      </c>
      <c r="S9" s="8">
        <f t="shared" si="2"/>
        <v>3080.9375196520946</v>
      </c>
      <c r="T9" s="8">
        <v>14</v>
      </c>
      <c r="U9" s="8" t="s">
        <v>59</v>
      </c>
      <c r="V9" s="8">
        <v>16</v>
      </c>
      <c r="W9" s="8">
        <v>19</v>
      </c>
      <c r="X9" s="8">
        <v>35</v>
      </c>
    </row>
    <row r="10" spans="1:24" x14ac:dyDescent="0.25">
      <c r="A10" s="8">
        <v>901</v>
      </c>
      <c r="B10" s="8">
        <v>781</v>
      </c>
      <c r="C10" s="8">
        <v>901</v>
      </c>
      <c r="D10" s="8">
        <v>793</v>
      </c>
      <c r="E10" s="8">
        <v>2838</v>
      </c>
      <c r="F10" s="8">
        <v>4729</v>
      </c>
      <c r="G10" s="8">
        <v>3987</v>
      </c>
      <c r="H10" s="8">
        <v>1454</v>
      </c>
      <c r="I10" s="8">
        <v>0</v>
      </c>
      <c r="J10" s="10">
        <f t="shared" si="0"/>
        <v>1098304</v>
      </c>
      <c r="K10" s="10">
        <f t="shared" si="0"/>
        <v>649636</v>
      </c>
      <c r="L10" s="10">
        <f t="shared" si="0"/>
        <v>150544</v>
      </c>
      <c r="M10" s="8">
        <f t="shared" si="0"/>
        <v>565504</v>
      </c>
      <c r="N10" s="10">
        <f t="shared" si="0"/>
        <v>473344</v>
      </c>
      <c r="O10" s="10">
        <f t="shared" si="0"/>
        <v>8549776</v>
      </c>
      <c r="P10" s="10">
        <f t="shared" si="0"/>
        <v>3583449</v>
      </c>
      <c r="Q10" s="10">
        <f t="shared" si="0"/>
        <v>6305121</v>
      </c>
      <c r="R10" s="10">
        <f t="shared" si="1"/>
        <v>21375678</v>
      </c>
      <c r="S10" s="8">
        <f t="shared" si="2"/>
        <v>4623.3838257276457</v>
      </c>
      <c r="T10" s="8">
        <v>34</v>
      </c>
      <c r="U10" s="8" t="s">
        <v>59</v>
      </c>
      <c r="V10" s="8">
        <v>16</v>
      </c>
      <c r="W10" s="8">
        <v>19</v>
      </c>
      <c r="X10" s="8">
        <v>35</v>
      </c>
    </row>
    <row r="11" spans="1:24" x14ac:dyDescent="0.25">
      <c r="A11" s="8">
        <v>732</v>
      </c>
      <c r="B11" s="8">
        <v>470</v>
      </c>
      <c r="C11" s="8">
        <v>715</v>
      </c>
      <c r="D11" s="8">
        <v>1864</v>
      </c>
      <c r="E11" s="8">
        <v>2328</v>
      </c>
      <c r="F11" s="8">
        <v>3231</v>
      </c>
      <c r="G11" s="8">
        <v>4183</v>
      </c>
      <c r="H11" s="8">
        <v>2861</v>
      </c>
      <c r="I11" s="8">
        <v>0</v>
      </c>
      <c r="J11" s="10">
        <f t="shared" si="0"/>
        <v>1481089</v>
      </c>
      <c r="K11" s="10">
        <f t="shared" si="0"/>
        <v>1247689</v>
      </c>
      <c r="L11" s="10">
        <f t="shared" si="0"/>
        <v>329476</v>
      </c>
      <c r="M11" s="8">
        <f t="shared" si="0"/>
        <v>101761</v>
      </c>
      <c r="N11" s="10">
        <f t="shared" si="0"/>
        <v>31684</v>
      </c>
      <c r="O11" s="10">
        <f t="shared" si="0"/>
        <v>2033476</v>
      </c>
      <c r="P11" s="10">
        <f t="shared" si="0"/>
        <v>4363921</v>
      </c>
      <c r="Q11" s="10">
        <f t="shared" si="0"/>
        <v>1218816</v>
      </c>
      <c r="R11" s="10">
        <f t="shared" si="1"/>
        <v>10807912</v>
      </c>
      <c r="S11" s="8">
        <f t="shared" si="2"/>
        <v>3287.5388971082912</v>
      </c>
      <c r="T11" s="8">
        <v>16</v>
      </c>
      <c r="U11" s="8" t="s">
        <v>59</v>
      </c>
      <c r="V11" s="8">
        <v>16</v>
      </c>
      <c r="W11" s="8">
        <v>19</v>
      </c>
      <c r="X11" s="8">
        <v>35</v>
      </c>
    </row>
    <row r="12" spans="1:24" x14ac:dyDescent="0.25">
      <c r="A12" s="8">
        <v>1026</v>
      </c>
      <c r="B12" s="8">
        <v>445</v>
      </c>
      <c r="C12" s="8">
        <v>406</v>
      </c>
      <c r="D12" s="8">
        <v>1133</v>
      </c>
      <c r="E12" s="8">
        <v>2326</v>
      </c>
      <c r="F12" s="8">
        <v>3311</v>
      </c>
      <c r="G12" s="8">
        <v>5089</v>
      </c>
      <c r="H12" s="8">
        <v>2648</v>
      </c>
      <c r="I12" s="8">
        <v>0</v>
      </c>
      <c r="J12" s="10">
        <f t="shared" si="0"/>
        <v>851929</v>
      </c>
      <c r="K12" s="10">
        <f t="shared" si="0"/>
        <v>1304164</v>
      </c>
      <c r="L12" s="10">
        <f t="shared" si="0"/>
        <v>779689</v>
      </c>
      <c r="M12" s="8">
        <f t="shared" si="0"/>
        <v>169744</v>
      </c>
      <c r="N12" s="10">
        <f t="shared" si="0"/>
        <v>30976</v>
      </c>
      <c r="O12" s="10">
        <f t="shared" si="0"/>
        <v>2268036</v>
      </c>
      <c r="P12" s="10">
        <f t="shared" si="0"/>
        <v>8970025</v>
      </c>
      <c r="Q12" s="10">
        <f t="shared" si="0"/>
        <v>1734489</v>
      </c>
      <c r="R12" s="10">
        <f t="shared" si="1"/>
        <v>16109052</v>
      </c>
      <c r="S12" s="8">
        <f t="shared" si="2"/>
        <v>4013.6083515958553</v>
      </c>
      <c r="T12" s="8">
        <v>25</v>
      </c>
      <c r="U12" s="8" t="s">
        <v>59</v>
      </c>
      <c r="V12" s="8">
        <v>16</v>
      </c>
      <c r="W12" s="8">
        <v>19</v>
      </c>
      <c r="X12" s="8">
        <v>35</v>
      </c>
    </row>
    <row r="13" spans="1:24" x14ac:dyDescent="0.25">
      <c r="A13" s="8">
        <v>288</v>
      </c>
      <c r="B13" s="8">
        <v>502</v>
      </c>
      <c r="C13" s="8">
        <v>133</v>
      </c>
      <c r="D13" s="8">
        <v>357</v>
      </c>
      <c r="E13" s="8">
        <v>2556</v>
      </c>
      <c r="F13" s="8">
        <v>1917</v>
      </c>
      <c r="G13" s="8">
        <v>4789</v>
      </c>
      <c r="H13" s="8">
        <v>5842</v>
      </c>
      <c r="I13" s="8">
        <v>0</v>
      </c>
      <c r="J13" s="10">
        <f t="shared" si="0"/>
        <v>2758921</v>
      </c>
      <c r="K13" s="10">
        <f t="shared" si="0"/>
        <v>1177225</v>
      </c>
      <c r="L13" s="10">
        <f t="shared" si="0"/>
        <v>1336336</v>
      </c>
      <c r="M13" s="8">
        <f t="shared" si="0"/>
        <v>1411344</v>
      </c>
      <c r="N13" s="10">
        <f t="shared" si="0"/>
        <v>164836</v>
      </c>
      <c r="O13" s="10">
        <f t="shared" si="0"/>
        <v>12544</v>
      </c>
      <c r="P13" s="10">
        <f t="shared" si="0"/>
        <v>7263025</v>
      </c>
      <c r="Q13" s="10">
        <f t="shared" si="0"/>
        <v>3523129</v>
      </c>
      <c r="R13" s="10">
        <f t="shared" si="1"/>
        <v>17647360</v>
      </c>
      <c r="S13" s="8">
        <f t="shared" si="2"/>
        <v>4200.8760991012341</v>
      </c>
      <c r="T13" s="8">
        <v>28</v>
      </c>
      <c r="U13" s="8" t="s">
        <v>59</v>
      </c>
      <c r="V13" s="8">
        <v>16</v>
      </c>
      <c r="W13" s="8">
        <v>19</v>
      </c>
      <c r="X13" s="8">
        <v>35</v>
      </c>
    </row>
    <row r="14" spans="1:24" x14ac:dyDescent="0.25">
      <c r="A14" s="8">
        <v>759</v>
      </c>
      <c r="B14" s="8">
        <v>1182</v>
      </c>
      <c r="C14" s="8">
        <v>1274</v>
      </c>
      <c r="D14" s="8">
        <v>2499</v>
      </c>
      <c r="E14" s="8">
        <v>3117</v>
      </c>
      <c r="F14" s="8">
        <v>2409</v>
      </c>
      <c r="G14" s="8">
        <v>3625</v>
      </c>
      <c r="H14" s="8">
        <v>1519</v>
      </c>
      <c r="I14" s="8">
        <v>0</v>
      </c>
      <c r="J14" s="10">
        <f t="shared" si="0"/>
        <v>1416100</v>
      </c>
      <c r="K14" s="10">
        <f t="shared" si="0"/>
        <v>164025</v>
      </c>
      <c r="L14" s="10">
        <f t="shared" si="0"/>
        <v>225</v>
      </c>
      <c r="M14" s="8">
        <f t="shared" si="0"/>
        <v>910116</v>
      </c>
      <c r="N14" s="10">
        <f t="shared" si="0"/>
        <v>935089</v>
      </c>
      <c r="O14" s="10">
        <f t="shared" si="0"/>
        <v>364816</v>
      </c>
      <c r="P14" s="10">
        <f t="shared" si="0"/>
        <v>2343961</v>
      </c>
      <c r="Q14" s="10">
        <f t="shared" si="0"/>
        <v>5982916</v>
      </c>
      <c r="R14" s="10">
        <f t="shared" si="1"/>
        <v>12117248</v>
      </c>
      <c r="S14" s="8">
        <f t="shared" si="2"/>
        <v>3480.9837689940468</v>
      </c>
      <c r="T14" s="8">
        <v>19</v>
      </c>
      <c r="U14" s="8" t="s">
        <v>59</v>
      </c>
      <c r="V14" s="8">
        <v>16</v>
      </c>
      <c r="W14" s="8">
        <v>19</v>
      </c>
      <c r="X14" s="8">
        <v>35</v>
      </c>
    </row>
    <row r="15" spans="1:24" x14ac:dyDescent="0.25">
      <c r="A15" s="8">
        <v>995</v>
      </c>
      <c r="B15" s="8">
        <v>865</v>
      </c>
      <c r="C15" s="8">
        <v>830</v>
      </c>
      <c r="D15" s="8">
        <v>1214</v>
      </c>
      <c r="E15" s="8">
        <v>2337</v>
      </c>
      <c r="F15" s="8">
        <v>2591</v>
      </c>
      <c r="G15" s="8">
        <v>4145</v>
      </c>
      <c r="H15" s="8">
        <v>3407</v>
      </c>
      <c r="I15" s="8">
        <v>0</v>
      </c>
      <c r="J15" s="10">
        <f t="shared" si="0"/>
        <v>910116</v>
      </c>
      <c r="K15" s="10">
        <f t="shared" si="0"/>
        <v>521284</v>
      </c>
      <c r="L15" s="10">
        <f t="shared" si="0"/>
        <v>210681</v>
      </c>
      <c r="M15" s="8">
        <f t="shared" si="0"/>
        <v>109561</v>
      </c>
      <c r="N15" s="10">
        <f t="shared" si="0"/>
        <v>34969</v>
      </c>
      <c r="O15" s="10">
        <f t="shared" si="0"/>
        <v>617796</v>
      </c>
      <c r="P15" s="10">
        <f t="shared" si="0"/>
        <v>4206601</v>
      </c>
      <c r="Q15" s="10">
        <f t="shared" si="0"/>
        <v>311364</v>
      </c>
      <c r="R15" s="10">
        <f t="shared" si="1"/>
        <v>6922372</v>
      </c>
      <c r="S15" s="8">
        <f t="shared" si="2"/>
        <v>2631.0400985161741</v>
      </c>
      <c r="T15" s="8">
        <v>9</v>
      </c>
      <c r="U15" s="8" t="s">
        <v>59</v>
      </c>
      <c r="V15" s="8">
        <v>16</v>
      </c>
      <c r="W15" s="8">
        <v>19</v>
      </c>
      <c r="X15" s="8">
        <v>35</v>
      </c>
    </row>
    <row r="16" spans="1:24" x14ac:dyDescent="0.25">
      <c r="A16" s="2">
        <v>161</v>
      </c>
      <c r="B16" s="2">
        <v>1612</v>
      </c>
      <c r="C16" s="2">
        <v>5655</v>
      </c>
      <c r="D16" s="2">
        <v>5822</v>
      </c>
      <c r="E16" s="2">
        <v>2919</v>
      </c>
      <c r="F16" s="2">
        <v>129</v>
      </c>
      <c r="G16" s="2">
        <v>0</v>
      </c>
      <c r="H16" s="2">
        <v>86</v>
      </c>
      <c r="I16" s="2">
        <v>0</v>
      </c>
      <c r="J16" s="7">
        <f t="shared" si="0"/>
        <v>3196944</v>
      </c>
      <c r="K16" s="7">
        <f t="shared" si="0"/>
        <v>625</v>
      </c>
      <c r="L16" s="7">
        <f t="shared" si="0"/>
        <v>19061956</v>
      </c>
      <c r="M16" s="2">
        <f t="shared" si="0"/>
        <v>18292729</v>
      </c>
      <c r="N16" s="7">
        <f t="shared" si="0"/>
        <v>591361</v>
      </c>
      <c r="O16" s="7">
        <f t="shared" si="0"/>
        <v>2808976</v>
      </c>
      <c r="P16" s="7">
        <f t="shared" si="0"/>
        <v>4384836</v>
      </c>
      <c r="Q16" s="7">
        <f t="shared" si="0"/>
        <v>15046641</v>
      </c>
      <c r="R16" s="7">
        <f t="shared" si="1"/>
        <v>63384068</v>
      </c>
      <c r="S16" s="2">
        <f t="shared" si="2"/>
        <v>7961.4111814426469</v>
      </c>
      <c r="T16" s="2">
        <v>40</v>
      </c>
      <c r="U16" s="2" t="s">
        <v>60</v>
      </c>
      <c r="V16" s="2">
        <v>16</v>
      </c>
      <c r="W16" s="2">
        <v>19</v>
      </c>
      <c r="X16" s="2">
        <v>35</v>
      </c>
    </row>
    <row r="17" spans="1:24" x14ac:dyDescent="0.25">
      <c r="A17" s="2">
        <v>148</v>
      </c>
      <c r="B17" s="2">
        <v>77</v>
      </c>
      <c r="C17" s="2">
        <v>338</v>
      </c>
      <c r="D17" s="2">
        <v>609</v>
      </c>
      <c r="E17" s="2">
        <v>1826</v>
      </c>
      <c r="F17" s="2">
        <v>2819</v>
      </c>
      <c r="G17" s="2">
        <v>7807</v>
      </c>
      <c r="H17" s="2">
        <v>2760</v>
      </c>
      <c r="I17" s="2">
        <v>0</v>
      </c>
      <c r="J17" s="7">
        <f t="shared" si="0"/>
        <v>3243601</v>
      </c>
      <c r="K17" s="7">
        <f t="shared" si="0"/>
        <v>2280100</v>
      </c>
      <c r="L17" s="7">
        <f t="shared" si="0"/>
        <v>904401</v>
      </c>
      <c r="M17" s="2">
        <f t="shared" si="0"/>
        <v>876096</v>
      </c>
      <c r="N17" s="7">
        <f t="shared" si="0"/>
        <v>104976</v>
      </c>
      <c r="O17" s="7">
        <f t="shared" si="0"/>
        <v>1028196</v>
      </c>
      <c r="P17" s="7">
        <f t="shared" si="0"/>
        <v>32638369</v>
      </c>
      <c r="Q17" s="7">
        <f t="shared" si="0"/>
        <v>1452025</v>
      </c>
      <c r="R17" s="7">
        <f t="shared" si="1"/>
        <v>42527764</v>
      </c>
      <c r="S17" s="2">
        <f t="shared" si="2"/>
        <v>6521.3314591423732</v>
      </c>
      <c r="T17" s="2">
        <v>38</v>
      </c>
      <c r="U17" s="2" t="s">
        <v>60</v>
      </c>
      <c r="V17" s="2">
        <v>16</v>
      </c>
      <c r="W17" s="2">
        <v>19</v>
      </c>
      <c r="X17" s="2">
        <v>35</v>
      </c>
    </row>
    <row r="18" spans="1:24" x14ac:dyDescent="0.25">
      <c r="A18" s="8">
        <v>530</v>
      </c>
      <c r="B18" s="8">
        <v>512</v>
      </c>
      <c r="C18" s="8">
        <v>1065</v>
      </c>
      <c r="D18" s="8">
        <v>3454</v>
      </c>
      <c r="E18" s="8">
        <v>3154</v>
      </c>
      <c r="F18" s="8">
        <v>2608</v>
      </c>
      <c r="G18" s="8">
        <v>3066</v>
      </c>
      <c r="H18" s="8">
        <v>1995</v>
      </c>
      <c r="I18" s="8">
        <v>0</v>
      </c>
      <c r="J18" s="10">
        <f t="shared" si="0"/>
        <v>2013561</v>
      </c>
      <c r="K18" s="10">
        <f t="shared" si="0"/>
        <v>1155625</v>
      </c>
      <c r="L18" s="10">
        <f t="shared" si="0"/>
        <v>50176</v>
      </c>
      <c r="M18" s="8">
        <f t="shared" si="0"/>
        <v>3644281</v>
      </c>
      <c r="N18" s="10">
        <f t="shared" si="0"/>
        <v>1008016</v>
      </c>
      <c r="O18" s="10">
        <f t="shared" si="0"/>
        <v>644809</v>
      </c>
      <c r="P18" s="10">
        <f t="shared" si="0"/>
        <v>944784</v>
      </c>
      <c r="Q18" s="10">
        <f t="shared" si="0"/>
        <v>3880900</v>
      </c>
      <c r="R18" s="10">
        <f t="shared" si="1"/>
        <v>13342152</v>
      </c>
      <c r="S18" s="8">
        <f t="shared" si="2"/>
        <v>3652.6910627645475</v>
      </c>
      <c r="T18" s="8">
        <v>21</v>
      </c>
      <c r="U18" s="8" t="s">
        <v>59</v>
      </c>
      <c r="V18" s="8">
        <v>16</v>
      </c>
      <c r="W18" s="8">
        <v>19</v>
      </c>
      <c r="X18" s="8">
        <v>35</v>
      </c>
    </row>
    <row r="19" spans="1:24" x14ac:dyDescent="0.25">
      <c r="A19" s="8">
        <v>2337</v>
      </c>
      <c r="B19" s="8">
        <v>2887</v>
      </c>
      <c r="C19" s="8">
        <v>1588</v>
      </c>
      <c r="D19" s="8">
        <v>1689</v>
      </c>
      <c r="E19" s="8">
        <v>1687</v>
      </c>
      <c r="F19" s="8">
        <v>1298</v>
      </c>
      <c r="G19" s="8">
        <v>2077</v>
      </c>
      <c r="H19" s="8">
        <v>2821</v>
      </c>
      <c r="I19" s="8">
        <v>0</v>
      </c>
      <c r="J19" s="10">
        <f t="shared" ref="J19:Q42" si="3">SUMSQ(A19-A61)</f>
        <v>150544</v>
      </c>
      <c r="K19" s="10">
        <f t="shared" si="3"/>
        <v>1690000</v>
      </c>
      <c r="L19" s="10">
        <f t="shared" si="3"/>
        <v>89401</v>
      </c>
      <c r="M19" s="8">
        <f t="shared" si="3"/>
        <v>20736</v>
      </c>
      <c r="N19" s="10">
        <f t="shared" si="3"/>
        <v>214369</v>
      </c>
      <c r="O19" s="10">
        <f t="shared" si="3"/>
        <v>257049</v>
      </c>
      <c r="P19" s="10">
        <f t="shared" si="3"/>
        <v>289</v>
      </c>
      <c r="Q19" s="10">
        <f t="shared" si="3"/>
        <v>1308736</v>
      </c>
      <c r="R19" s="10">
        <f t="shared" si="1"/>
        <v>3731124</v>
      </c>
      <c r="S19" s="8">
        <f t="shared" si="2"/>
        <v>1931.6117622338088</v>
      </c>
      <c r="T19" s="8">
        <v>5</v>
      </c>
      <c r="U19" s="8" t="s">
        <v>59</v>
      </c>
      <c r="V19" s="8">
        <v>16</v>
      </c>
      <c r="W19" s="8">
        <v>19</v>
      </c>
      <c r="X19" s="8">
        <v>35</v>
      </c>
    </row>
    <row r="20" spans="1:24" x14ac:dyDescent="0.25">
      <c r="A20" s="2">
        <v>1748</v>
      </c>
      <c r="B20" s="2">
        <v>2237</v>
      </c>
      <c r="C20" s="2">
        <v>3126</v>
      </c>
      <c r="D20" s="2">
        <v>3496</v>
      </c>
      <c r="E20" s="2">
        <v>3619</v>
      </c>
      <c r="F20" s="2">
        <v>1459</v>
      </c>
      <c r="G20" s="2">
        <v>578</v>
      </c>
      <c r="H20" s="2">
        <v>121</v>
      </c>
      <c r="I20" s="2">
        <v>0</v>
      </c>
      <c r="J20" s="7">
        <f t="shared" si="3"/>
        <v>40401</v>
      </c>
      <c r="K20" s="7">
        <f t="shared" si="3"/>
        <v>422500</v>
      </c>
      <c r="L20" s="7">
        <f t="shared" si="3"/>
        <v>3374569</v>
      </c>
      <c r="M20" s="2">
        <f t="shared" si="3"/>
        <v>3806401</v>
      </c>
      <c r="N20" s="7">
        <f t="shared" si="3"/>
        <v>2157961</v>
      </c>
      <c r="O20" s="7">
        <f t="shared" si="3"/>
        <v>119716</v>
      </c>
      <c r="P20" s="7">
        <f t="shared" si="3"/>
        <v>2298256</v>
      </c>
      <c r="Q20" s="7">
        <f t="shared" si="3"/>
        <v>14776336</v>
      </c>
      <c r="R20" s="7">
        <f t="shared" si="1"/>
        <v>26996140</v>
      </c>
      <c r="S20" s="2">
        <f t="shared" si="2"/>
        <v>5195.7809807573685</v>
      </c>
      <c r="T20" s="2">
        <v>36</v>
      </c>
      <c r="U20" s="2" t="s">
        <v>60</v>
      </c>
      <c r="V20" s="2">
        <v>16</v>
      </c>
      <c r="W20" s="2">
        <v>19</v>
      </c>
      <c r="X20" s="2">
        <v>35</v>
      </c>
    </row>
    <row r="21" spans="1:24" x14ac:dyDescent="0.25">
      <c r="A21" s="8">
        <v>227</v>
      </c>
      <c r="B21" s="8">
        <v>367</v>
      </c>
      <c r="C21" s="8">
        <v>1012</v>
      </c>
      <c r="D21" s="8">
        <v>2145</v>
      </c>
      <c r="E21" s="8">
        <v>2678</v>
      </c>
      <c r="F21" s="8">
        <v>2823</v>
      </c>
      <c r="G21" s="8">
        <v>5291</v>
      </c>
      <c r="H21" s="8">
        <v>1841</v>
      </c>
      <c r="I21" s="8">
        <v>0</v>
      </c>
      <c r="J21" s="10">
        <f t="shared" si="3"/>
        <v>2965284</v>
      </c>
      <c r="K21" s="10">
        <f t="shared" si="3"/>
        <v>1488400</v>
      </c>
      <c r="L21" s="10">
        <f t="shared" si="3"/>
        <v>76729</v>
      </c>
      <c r="M21" s="8">
        <f t="shared" si="3"/>
        <v>360000</v>
      </c>
      <c r="N21" s="10">
        <f t="shared" si="3"/>
        <v>278784</v>
      </c>
      <c r="O21" s="10">
        <f t="shared" si="3"/>
        <v>1036324</v>
      </c>
      <c r="P21" s="10">
        <f t="shared" si="3"/>
        <v>10220809</v>
      </c>
      <c r="Q21" s="10">
        <f t="shared" si="3"/>
        <v>4511376</v>
      </c>
      <c r="R21" s="10">
        <f t="shared" si="1"/>
        <v>20937706</v>
      </c>
      <c r="S21" s="8">
        <f t="shared" si="2"/>
        <v>4575.7738143400402</v>
      </c>
      <c r="T21" s="8">
        <v>33</v>
      </c>
      <c r="U21" s="8" t="s">
        <v>59</v>
      </c>
      <c r="V21" s="8">
        <v>16</v>
      </c>
      <c r="W21" s="8">
        <v>19</v>
      </c>
      <c r="X21" s="8">
        <v>35</v>
      </c>
    </row>
    <row r="22" spans="1:24" x14ac:dyDescent="0.25">
      <c r="A22" s="8">
        <v>675</v>
      </c>
      <c r="B22" s="8">
        <v>533</v>
      </c>
      <c r="C22" s="8">
        <v>665</v>
      </c>
      <c r="D22" s="8">
        <v>656</v>
      </c>
      <c r="E22" s="8">
        <v>2773</v>
      </c>
      <c r="F22" s="8">
        <v>3379</v>
      </c>
      <c r="G22" s="8">
        <v>4597</v>
      </c>
      <c r="H22" s="8">
        <v>3106</v>
      </c>
      <c r="I22" s="8">
        <v>0</v>
      </c>
      <c r="J22" s="10">
        <f t="shared" si="3"/>
        <v>1623076</v>
      </c>
      <c r="K22" s="10">
        <f t="shared" si="3"/>
        <v>1110916</v>
      </c>
      <c r="L22" s="10">
        <f t="shared" si="3"/>
        <v>389376</v>
      </c>
      <c r="M22" s="8">
        <f t="shared" si="3"/>
        <v>790321</v>
      </c>
      <c r="N22" s="10">
        <f t="shared" si="3"/>
        <v>388129</v>
      </c>
      <c r="O22" s="10">
        <f t="shared" si="3"/>
        <v>2477476</v>
      </c>
      <c r="P22" s="10">
        <f t="shared" si="3"/>
        <v>6265009</v>
      </c>
      <c r="Q22" s="10">
        <f t="shared" si="3"/>
        <v>737881</v>
      </c>
      <c r="R22" s="10">
        <f t="shared" si="1"/>
        <v>13782184</v>
      </c>
      <c r="S22" s="8">
        <f t="shared" si="2"/>
        <v>3712.4363967615659</v>
      </c>
      <c r="T22" s="8">
        <v>22</v>
      </c>
      <c r="U22" s="8" t="s">
        <v>59</v>
      </c>
      <c r="V22" s="8">
        <v>16</v>
      </c>
      <c r="W22" s="8">
        <v>19</v>
      </c>
      <c r="X22" s="8">
        <v>35</v>
      </c>
    </row>
    <row r="23" spans="1:24" x14ac:dyDescent="0.25">
      <c r="A23" s="9">
        <v>649</v>
      </c>
      <c r="B23" s="9">
        <v>4202</v>
      </c>
      <c r="C23" s="9">
        <v>1954</v>
      </c>
      <c r="D23" s="9">
        <v>668</v>
      </c>
      <c r="E23" s="9">
        <v>2239</v>
      </c>
      <c r="F23" s="9">
        <v>1718</v>
      </c>
      <c r="G23" s="9">
        <v>2036</v>
      </c>
      <c r="H23" s="9">
        <v>2918</v>
      </c>
      <c r="I23" s="9">
        <v>1</v>
      </c>
      <c r="J23" s="11">
        <f t="shared" si="3"/>
        <v>1690000</v>
      </c>
      <c r="K23" s="11">
        <f t="shared" si="3"/>
        <v>6838225</v>
      </c>
      <c r="L23" s="11">
        <f t="shared" si="3"/>
        <v>442225</v>
      </c>
      <c r="M23" s="9">
        <f t="shared" si="3"/>
        <v>769129</v>
      </c>
      <c r="N23" s="11">
        <f t="shared" si="3"/>
        <v>7921</v>
      </c>
      <c r="O23" s="11">
        <f t="shared" si="3"/>
        <v>7569</v>
      </c>
      <c r="P23" s="11">
        <f t="shared" si="3"/>
        <v>3364</v>
      </c>
      <c r="Q23" s="11">
        <f t="shared" si="3"/>
        <v>1096209</v>
      </c>
      <c r="R23" s="11">
        <f t="shared" si="1"/>
        <v>10854642</v>
      </c>
      <c r="S23" s="9">
        <f t="shared" si="2"/>
        <v>3294.6383716578061</v>
      </c>
      <c r="T23" s="9">
        <v>17</v>
      </c>
      <c r="U23" s="9" t="s">
        <v>59</v>
      </c>
      <c r="V23" s="9">
        <v>16</v>
      </c>
      <c r="W23" s="9">
        <v>19</v>
      </c>
      <c r="X23" s="9">
        <v>35</v>
      </c>
    </row>
    <row r="24" spans="1:24" x14ac:dyDescent="0.25">
      <c r="A24" s="9">
        <v>3744</v>
      </c>
      <c r="B24" s="9">
        <v>2302</v>
      </c>
      <c r="C24" s="9">
        <v>2487</v>
      </c>
      <c r="D24" s="9">
        <v>1326</v>
      </c>
      <c r="E24" s="9">
        <v>2305</v>
      </c>
      <c r="F24" s="9">
        <v>1737</v>
      </c>
      <c r="G24" s="9">
        <v>1549</v>
      </c>
      <c r="H24" s="9">
        <v>934</v>
      </c>
      <c r="I24" s="9">
        <v>1</v>
      </c>
      <c r="J24" s="11">
        <f t="shared" si="3"/>
        <v>3222025</v>
      </c>
      <c r="K24" s="11">
        <f t="shared" si="3"/>
        <v>511225</v>
      </c>
      <c r="L24" s="11">
        <f t="shared" si="3"/>
        <v>1435204</v>
      </c>
      <c r="M24" s="9">
        <f t="shared" si="3"/>
        <v>47961</v>
      </c>
      <c r="N24" s="11">
        <f t="shared" si="3"/>
        <v>24025</v>
      </c>
      <c r="O24" s="11">
        <f t="shared" si="3"/>
        <v>4624</v>
      </c>
      <c r="P24" s="11">
        <f t="shared" si="3"/>
        <v>297025</v>
      </c>
      <c r="Q24" s="11">
        <f t="shared" si="3"/>
        <v>9186961</v>
      </c>
      <c r="R24" s="11">
        <f t="shared" si="1"/>
        <v>14729050</v>
      </c>
      <c r="S24" s="9">
        <f t="shared" si="2"/>
        <v>3837.8444470822419</v>
      </c>
      <c r="T24" s="9">
        <v>23</v>
      </c>
      <c r="U24" s="9" t="s">
        <v>59</v>
      </c>
      <c r="V24" s="9">
        <v>16</v>
      </c>
      <c r="W24" s="9">
        <v>19</v>
      </c>
      <c r="X24" s="9">
        <v>35</v>
      </c>
    </row>
    <row r="25" spans="1:24" x14ac:dyDescent="0.25">
      <c r="A25" s="9">
        <v>661</v>
      </c>
      <c r="B25" s="9">
        <v>391</v>
      </c>
      <c r="C25" s="9">
        <v>979</v>
      </c>
      <c r="D25" s="9">
        <v>2162</v>
      </c>
      <c r="E25" s="9">
        <v>2255</v>
      </c>
      <c r="F25" s="9">
        <v>3028</v>
      </c>
      <c r="G25" s="9">
        <v>3846</v>
      </c>
      <c r="H25" s="9">
        <v>3062</v>
      </c>
      <c r="I25" s="9">
        <v>1</v>
      </c>
      <c r="J25" s="11">
        <f t="shared" si="3"/>
        <v>1658944</v>
      </c>
      <c r="K25" s="11">
        <f t="shared" si="3"/>
        <v>1430416</v>
      </c>
      <c r="L25" s="11">
        <f t="shared" si="3"/>
        <v>96100</v>
      </c>
      <c r="M25" s="9">
        <f t="shared" si="3"/>
        <v>380689</v>
      </c>
      <c r="N25" s="11">
        <f t="shared" si="3"/>
        <v>11025</v>
      </c>
      <c r="O25" s="11">
        <f t="shared" si="3"/>
        <v>1495729</v>
      </c>
      <c r="P25" s="11">
        <f t="shared" si="3"/>
        <v>3069504</v>
      </c>
      <c r="Q25" s="11">
        <f t="shared" si="3"/>
        <v>815409</v>
      </c>
      <c r="R25" s="11">
        <f t="shared" si="1"/>
        <v>8957816</v>
      </c>
      <c r="S25" s="9">
        <f t="shared" si="2"/>
        <v>2992.9610755905264</v>
      </c>
      <c r="T25" s="9">
        <v>12</v>
      </c>
      <c r="U25" s="9" t="s">
        <v>59</v>
      </c>
      <c r="V25" s="9">
        <v>16</v>
      </c>
      <c r="W25" s="9">
        <v>19</v>
      </c>
      <c r="X25" s="9">
        <v>35</v>
      </c>
    </row>
    <row r="26" spans="1:24" x14ac:dyDescent="0.25">
      <c r="A26" s="9">
        <v>342</v>
      </c>
      <c r="B26" s="9">
        <v>361</v>
      </c>
      <c r="C26" s="9">
        <v>832</v>
      </c>
      <c r="D26" s="9">
        <v>1397</v>
      </c>
      <c r="E26" s="9">
        <v>3977</v>
      </c>
      <c r="F26" s="9">
        <v>3500</v>
      </c>
      <c r="G26" s="9">
        <v>4091</v>
      </c>
      <c r="H26" s="9">
        <v>1884</v>
      </c>
      <c r="I26" s="9">
        <v>1</v>
      </c>
      <c r="J26" s="11">
        <f t="shared" si="3"/>
        <v>2582449</v>
      </c>
      <c r="K26" s="11">
        <f t="shared" si="3"/>
        <v>1503076</v>
      </c>
      <c r="L26" s="11">
        <f t="shared" si="3"/>
        <v>208849</v>
      </c>
      <c r="M26" s="9">
        <f t="shared" si="3"/>
        <v>21904</v>
      </c>
      <c r="N26" s="11">
        <f t="shared" si="3"/>
        <v>3337929</v>
      </c>
      <c r="O26" s="11">
        <f t="shared" si="3"/>
        <v>2873025</v>
      </c>
      <c r="P26" s="11">
        <f t="shared" si="3"/>
        <v>3988009</v>
      </c>
      <c r="Q26" s="11">
        <f t="shared" si="3"/>
        <v>4330561</v>
      </c>
      <c r="R26" s="11">
        <f t="shared" si="1"/>
        <v>18845802</v>
      </c>
      <c r="S26" s="9">
        <f t="shared" si="2"/>
        <v>4341.1751865134402</v>
      </c>
      <c r="T26" s="9">
        <v>31</v>
      </c>
      <c r="U26" s="9" t="s">
        <v>59</v>
      </c>
      <c r="V26" s="9">
        <v>16</v>
      </c>
      <c r="W26" s="9">
        <v>19</v>
      </c>
      <c r="X26" s="9">
        <v>35</v>
      </c>
    </row>
    <row r="27" spans="1:24" x14ac:dyDescent="0.25">
      <c r="A27" s="9">
        <v>1392</v>
      </c>
      <c r="B27" s="9">
        <v>1285</v>
      </c>
      <c r="C27" s="9">
        <v>1127</v>
      </c>
      <c r="D27" s="9">
        <v>405</v>
      </c>
      <c r="E27" s="9">
        <v>2452</v>
      </c>
      <c r="F27" s="9">
        <v>4257</v>
      </c>
      <c r="G27" s="9">
        <v>3214</v>
      </c>
      <c r="H27" s="9">
        <v>2252</v>
      </c>
      <c r="I27" s="9">
        <v>1</v>
      </c>
      <c r="J27" s="11">
        <f t="shared" si="3"/>
        <v>310249</v>
      </c>
      <c r="K27" s="11">
        <f t="shared" si="3"/>
        <v>91204</v>
      </c>
      <c r="L27" s="11">
        <f t="shared" si="3"/>
        <v>26244</v>
      </c>
      <c r="M27" s="9">
        <f t="shared" si="3"/>
        <v>1299600</v>
      </c>
      <c r="N27" s="11">
        <f t="shared" si="3"/>
        <v>91204</v>
      </c>
      <c r="O27" s="11">
        <f t="shared" si="3"/>
        <v>6012304</v>
      </c>
      <c r="P27" s="11">
        <f t="shared" si="3"/>
        <v>1254400</v>
      </c>
      <c r="Q27" s="11">
        <f t="shared" si="3"/>
        <v>2934369</v>
      </c>
      <c r="R27" s="11">
        <f t="shared" si="1"/>
        <v>12019574</v>
      </c>
      <c r="S27" s="9">
        <f t="shared" si="2"/>
        <v>3466.9257274997976</v>
      </c>
      <c r="T27" s="9">
        <v>18</v>
      </c>
      <c r="U27" s="9" t="s">
        <v>59</v>
      </c>
      <c r="V27" s="9">
        <v>16</v>
      </c>
      <c r="W27" s="9">
        <v>19</v>
      </c>
      <c r="X27" s="9">
        <v>35</v>
      </c>
    </row>
    <row r="28" spans="1:24" x14ac:dyDescent="0.25">
      <c r="A28" s="9">
        <v>345</v>
      </c>
      <c r="B28" s="9">
        <v>534</v>
      </c>
      <c r="C28" s="9">
        <v>688</v>
      </c>
      <c r="D28" s="9">
        <v>1688</v>
      </c>
      <c r="E28" s="9">
        <v>3566</v>
      </c>
      <c r="F28" s="9">
        <v>2995</v>
      </c>
      <c r="G28" s="9">
        <v>4410</v>
      </c>
      <c r="H28" s="9">
        <v>2158</v>
      </c>
      <c r="I28" s="9">
        <v>1</v>
      </c>
      <c r="J28" s="11">
        <f t="shared" si="3"/>
        <v>2572816</v>
      </c>
      <c r="K28" s="11">
        <f t="shared" si="3"/>
        <v>1108809</v>
      </c>
      <c r="L28" s="11">
        <f t="shared" si="3"/>
        <v>361201</v>
      </c>
      <c r="M28" s="9">
        <f t="shared" si="3"/>
        <v>20449</v>
      </c>
      <c r="N28" s="11">
        <f t="shared" si="3"/>
        <v>2005056</v>
      </c>
      <c r="O28" s="11">
        <f t="shared" si="3"/>
        <v>1416100</v>
      </c>
      <c r="P28" s="11">
        <f t="shared" si="3"/>
        <v>5363856</v>
      </c>
      <c r="Q28" s="11">
        <f t="shared" si="3"/>
        <v>3265249</v>
      </c>
      <c r="R28" s="11">
        <f t="shared" si="1"/>
        <v>16113536</v>
      </c>
      <c r="S28" s="9">
        <f t="shared" si="2"/>
        <v>4014.1669123243992</v>
      </c>
      <c r="T28" s="9">
        <v>24</v>
      </c>
      <c r="U28" s="9" t="s">
        <v>59</v>
      </c>
      <c r="V28" s="9">
        <v>16</v>
      </c>
      <c r="W28" s="9">
        <v>19</v>
      </c>
      <c r="X28" s="9">
        <v>35</v>
      </c>
    </row>
    <row r="29" spans="1:24" x14ac:dyDescent="0.25">
      <c r="A29" s="9">
        <v>1933</v>
      </c>
      <c r="B29" s="9">
        <v>922</v>
      </c>
      <c r="C29" s="9">
        <v>503</v>
      </c>
      <c r="D29" s="9">
        <v>937</v>
      </c>
      <c r="E29" s="9">
        <v>1612</v>
      </c>
      <c r="F29" s="9">
        <v>2049</v>
      </c>
      <c r="G29" s="9">
        <v>4201</v>
      </c>
      <c r="H29" s="9">
        <v>4227</v>
      </c>
      <c r="I29" s="9">
        <v>1</v>
      </c>
      <c r="J29" s="11">
        <f t="shared" si="3"/>
        <v>256</v>
      </c>
      <c r="K29" s="11">
        <f t="shared" si="3"/>
        <v>442225</v>
      </c>
      <c r="L29" s="11">
        <f t="shared" si="3"/>
        <v>617796</v>
      </c>
      <c r="M29" s="9">
        <f t="shared" si="3"/>
        <v>369664</v>
      </c>
      <c r="N29" s="11">
        <f t="shared" si="3"/>
        <v>289444</v>
      </c>
      <c r="O29" s="11">
        <f t="shared" si="3"/>
        <v>59536</v>
      </c>
      <c r="P29" s="11">
        <f t="shared" si="3"/>
        <v>4439449</v>
      </c>
      <c r="Q29" s="11">
        <f t="shared" si="3"/>
        <v>68644</v>
      </c>
      <c r="R29" s="11">
        <f t="shared" si="1"/>
        <v>6287014</v>
      </c>
      <c r="S29" s="9">
        <f t="shared" si="2"/>
        <v>2507.3918720455326</v>
      </c>
      <c r="T29" s="9">
        <v>8</v>
      </c>
      <c r="U29" s="9" t="s">
        <v>59</v>
      </c>
      <c r="V29" s="9">
        <v>16</v>
      </c>
      <c r="W29" s="9">
        <v>19</v>
      </c>
      <c r="X29" s="9">
        <v>35</v>
      </c>
    </row>
    <row r="30" spans="1:24" x14ac:dyDescent="0.25">
      <c r="A30" s="2">
        <v>378</v>
      </c>
      <c r="B30" s="2">
        <v>445</v>
      </c>
      <c r="C30" s="2">
        <v>344</v>
      </c>
      <c r="D30" s="2">
        <v>910</v>
      </c>
      <c r="E30" s="2">
        <v>2456</v>
      </c>
      <c r="F30" s="2">
        <v>3863</v>
      </c>
      <c r="G30" s="2">
        <v>6130</v>
      </c>
      <c r="H30" s="2">
        <v>1858</v>
      </c>
      <c r="I30" s="2">
        <v>1</v>
      </c>
      <c r="J30" s="7">
        <f t="shared" si="3"/>
        <v>2468041</v>
      </c>
      <c r="K30" s="7">
        <f t="shared" si="3"/>
        <v>1304164</v>
      </c>
      <c r="L30" s="7">
        <f t="shared" si="3"/>
        <v>893025</v>
      </c>
      <c r="M30" s="2">
        <f t="shared" si="3"/>
        <v>403225</v>
      </c>
      <c r="N30" s="7">
        <f t="shared" si="3"/>
        <v>93636</v>
      </c>
      <c r="O30" s="7">
        <f t="shared" si="3"/>
        <v>4235364</v>
      </c>
      <c r="P30" s="7">
        <f t="shared" si="3"/>
        <v>16289296</v>
      </c>
      <c r="Q30" s="7">
        <f t="shared" si="3"/>
        <v>4439449</v>
      </c>
      <c r="R30" s="7">
        <f t="shared" si="1"/>
        <v>30126200</v>
      </c>
      <c r="S30" s="2">
        <f t="shared" si="2"/>
        <v>5488.7339159409066</v>
      </c>
      <c r="T30" s="2">
        <v>37</v>
      </c>
      <c r="U30" s="2" t="s">
        <v>60</v>
      </c>
      <c r="V30" s="2">
        <v>16</v>
      </c>
      <c r="W30" s="2">
        <v>19</v>
      </c>
      <c r="X30" s="2">
        <v>35</v>
      </c>
    </row>
    <row r="31" spans="1:24" x14ac:dyDescent="0.25">
      <c r="A31" s="9">
        <v>718</v>
      </c>
      <c r="B31" s="9">
        <v>876</v>
      </c>
      <c r="C31" s="9">
        <v>2615</v>
      </c>
      <c r="D31" s="9">
        <v>372</v>
      </c>
      <c r="E31" s="9">
        <v>1531</v>
      </c>
      <c r="F31" s="9">
        <v>3428</v>
      </c>
      <c r="G31" s="9">
        <v>5200</v>
      </c>
      <c r="H31" s="9">
        <v>1644</v>
      </c>
      <c r="I31" s="9">
        <v>1</v>
      </c>
      <c r="J31" s="11">
        <f t="shared" si="3"/>
        <v>1515361</v>
      </c>
      <c r="K31" s="11">
        <f t="shared" si="3"/>
        <v>505521</v>
      </c>
      <c r="L31" s="11">
        <f t="shared" si="3"/>
        <v>1758276</v>
      </c>
      <c r="M31" s="9">
        <f t="shared" si="3"/>
        <v>1375929</v>
      </c>
      <c r="N31" s="11">
        <f t="shared" si="3"/>
        <v>383161</v>
      </c>
      <c r="O31" s="11">
        <f t="shared" si="3"/>
        <v>2634129</v>
      </c>
      <c r="P31" s="11">
        <f t="shared" si="3"/>
        <v>9647236</v>
      </c>
      <c r="Q31" s="11">
        <f t="shared" si="3"/>
        <v>5387041</v>
      </c>
      <c r="R31" s="11">
        <f t="shared" si="1"/>
        <v>23206654</v>
      </c>
      <c r="S31" s="9">
        <f t="shared" si="2"/>
        <v>4817.3285127755198</v>
      </c>
      <c r="T31" s="9">
        <v>35</v>
      </c>
      <c r="U31" s="9" t="s">
        <v>59</v>
      </c>
      <c r="V31" s="9">
        <v>16</v>
      </c>
      <c r="W31" s="9">
        <v>19</v>
      </c>
      <c r="X31" s="9">
        <v>35</v>
      </c>
    </row>
    <row r="32" spans="1:24" x14ac:dyDescent="0.25">
      <c r="A32" s="9">
        <v>1483</v>
      </c>
      <c r="B32" s="9">
        <v>1797</v>
      </c>
      <c r="C32" s="9">
        <v>684</v>
      </c>
      <c r="D32" s="9">
        <v>284</v>
      </c>
      <c r="E32" s="9">
        <v>1103</v>
      </c>
      <c r="F32" s="9">
        <v>1880</v>
      </c>
      <c r="G32" s="9">
        <v>4309</v>
      </c>
      <c r="H32" s="9">
        <v>4844</v>
      </c>
      <c r="I32" s="9">
        <v>1</v>
      </c>
      <c r="J32" s="11">
        <f t="shared" si="3"/>
        <v>217156</v>
      </c>
      <c r="K32" s="11">
        <f t="shared" si="3"/>
        <v>44100</v>
      </c>
      <c r="L32" s="11">
        <f t="shared" si="3"/>
        <v>366025</v>
      </c>
      <c r="M32" s="9">
        <f t="shared" si="3"/>
        <v>1590121</v>
      </c>
      <c r="N32" s="11">
        <f t="shared" si="3"/>
        <v>1096209</v>
      </c>
      <c r="O32" s="11">
        <f t="shared" si="3"/>
        <v>5625</v>
      </c>
      <c r="P32" s="11">
        <f t="shared" si="3"/>
        <v>4906225</v>
      </c>
      <c r="Q32" s="11">
        <f t="shared" si="3"/>
        <v>772641</v>
      </c>
      <c r="R32" s="11">
        <f t="shared" si="1"/>
        <v>8998102</v>
      </c>
      <c r="S32" s="9">
        <f t="shared" si="2"/>
        <v>2999.6836499871115</v>
      </c>
      <c r="T32" s="9">
        <v>13</v>
      </c>
      <c r="U32" s="9" t="s">
        <v>59</v>
      </c>
      <c r="V32" s="9">
        <v>16</v>
      </c>
      <c r="W32" s="9">
        <v>19</v>
      </c>
      <c r="X32" s="9">
        <v>35</v>
      </c>
    </row>
    <row r="33" spans="1:24" x14ac:dyDescent="0.25">
      <c r="A33" s="9">
        <v>656</v>
      </c>
      <c r="B33" s="9">
        <v>908</v>
      </c>
      <c r="C33" s="9">
        <v>1660</v>
      </c>
      <c r="D33" s="9">
        <v>2001</v>
      </c>
      <c r="E33" s="9">
        <v>2811</v>
      </c>
      <c r="F33" s="9">
        <v>3725</v>
      </c>
      <c r="G33" s="9">
        <v>3550</v>
      </c>
      <c r="H33" s="9">
        <v>1073</v>
      </c>
      <c r="I33" s="9">
        <v>1</v>
      </c>
      <c r="J33" s="11">
        <f t="shared" si="3"/>
        <v>1671849</v>
      </c>
      <c r="K33" s="11">
        <f t="shared" si="3"/>
        <v>461041</v>
      </c>
      <c r="L33" s="11">
        <f t="shared" si="3"/>
        <v>137641</v>
      </c>
      <c r="M33" s="9">
        <f t="shared" si="3"/>
        <v>207936</v>
      </c>
      <c r="N33" s="11">
        <f t="shared" si="3"/>
        <v>436921</v>
      </c>
      <c r="O33" s="11">
        <f t="shared" si="3"/>
        <v>3686400</v>
      </c>
      <c r="P33" s="11">
        <f t="shared" si="3"/>
        <v>2119936</v>
      </c>
      <c r="Q33" s="11">
        <f t="shared" si="3"/>
        <v>8363664</v>
      </c>
      <c r="R33" s="11">
        <f t="shared" si="1"/>
        <v>17085388</v>
      </c>
      <c r="S33" s="9">
        <f t="shared" si="2"/>
        <v>4133.4474715423685</v>
      </c>
      <c r="T33" s="9">
        <v>26</v>
      </c>
      <c r="U33" s="9" t="s">
        <v>59</v>
      </c>
      <c r="V33" s="9">
        <v>16</v>
      </c>
      <c r="W33" s="9">
        <v>19</v>
      </c>
      <c r="X33" s="9">
        <v>35</v>
      </c>
    </row>
    <row r="34" spans="1:24" x14ac:dyDescent="0.25">
      <c r="A34" s="9">
        <v>602</v>
      </c>
      <c r="B34" s="9">
        <v>1207</v>
      </c>
      <c r="C34" s="9">
        <v>1874</v>
      </c>
      <c r="D34" s="9">
        <v>1810</v>
      </c>
      <c r="E34" s="9">
        <v>2221</v>
      </c>
      <c r="F34" s="9">
        <v>2402</v>
      </c>
      <c r="G34" s="9">
        <v>2722</v>
      </c>
      <c r="H34" s="9">
        <v>3546</v>
      </c>
      <c r="I34" s="9">
        <v>1</v>
      </c>
      <c r="J34" s="11">
        <f t="shared" si="3"/>
        <v>1814409</v>
      </c>
      <c r="K34" s="11">
        <f t="shared" si="3"/>
        <v>144400</v>
      </c>
      <c r="L34" s="11">
        <f t="shared" si="3"/>
        <v>342225</v>
      </c>
      <c r="M34" s="9">
        <f t="shared" si="3"/>
        <v>70225</v>
      </c>
      <c r="N34" s="11">
        <f t="shared" si="3"/>
        <v>5041</v>
      </c>
      <c r="O34" s="11">
        <f t="shared" si="3"/>
        <v>356409</v>
      </c>
      <c r="P34" s="11">
        <f t="shared" si="3"/>
        <v>394384</v>
      </c>
      <c r="Q34" s="11">
        <f t="shared" si="3"/>
        <v>175561</v>
      </c>
      <c r="R34" s="11">
        <f t="shared" si="1"/>
        <v>3302654</v>
      </c>
      <c r="S34" s="9">
        <f t="shared" si="2"/>
        <v>1817.3205551030342</v>
      </c>
      <c r="T34" s="9">
        <v>4</v>
      </c>
      <c r="U34" s="9" t="s">
        <v>59</v>
      </c>
      <c r="V34" s="9">
        <v>16</v>
      </c>
      <c r="W34" s="9">
        <v>19</v>
      </c>
      <c r="X34" s="9">
        <v>35</v>
      </c>
    </row>
    <row r="35" spans="1:24" x14ac:dyDescent="0.25">
      <c r="A35" s="9">
        <v>349</v>
      </c>
      <c r="B35" s="9">
        <v>2244</v>
      </c>
      <c r="C35" s="9">
        <v>2403</v>
      </c>
      <c r="D35" s="9">
        <v>2357</v>
      </c>
      <c r="E35" s="9">
        <v>3283</v>
      </c>
      <c r="F35" s="9">
        <v>3629</v>
      </c>
      <c r="G35" s="9">
        <v>1405</v>
      </c>
      <c r="H35" s="9">
        <v>714</v>
      </c>
      <c r="I35" s="9">
        <v>1</v>
      </c>
      <c r="J35" s="11">
        <f t="shared" si="3"/>
        <v>2560000</v>
      </c>
      <c r="K35" s="11">
        <f t="shared" si="3"/>
        <v>431649</v>
      </c>
      <c r="L35" s="11">
        <f t="shared" si="3"/>
        <v>1240996</v>
      </c>
      <c r="M35" s="9">
        <f t="shared" si="3"/>
        <v>659344</v>
      </c>
      <c r="N35" s="11">
        <f t="shared" si="3"/>
        <v>1283689</v>
      </c>
      <c r="O35" s="11">
        <f t="shared" si="3"/>
        <v>3326976</v>
      </c>
      <c r="P35" s="11">
        <f t="shared" si="3"/>
        <v>474721</v>
      </c>
      <c r="Q35" s="11">
        <f t="shared" si="3"/>
        <v>10569001</v>
      </c>
      <c r="R35" s="11">
        <f t="shared" si="1"/>
        <v>20546376</v>
      </c>
      <c r="S35" s="9">
        <f t="shared" si="2"/>
        <v>4532.8110483451655</v>
      </c>
      <c r="T35" s="9">
        <v>32</v>
      </c>
      <c r="U35" s="9" t="s">
        <v>59</v>
      </c>
      <c r="V35" s="9">
        <v>16</v>
      </c>
      <c r="W35" s="9">
        <v>19</v>
      </c>
      <c r="X35" s="9">
        <v>35</v>
      </c>
    </row>
    <row r="36" spans="1:24" x14ac:dyDescent="0.25">
      <c r="A36" s="9">
        <v>1577</v>
      </c>
      <c r="B36" s="9">
        <v>1458</v>
      </c>
      <c r="C36" s="9">
        <v>1050</v>
      </c>
      <c r="D36" s="9">
        <v>1249</v>
      </c>
      <c r="E36" s="9">
        <v>2432</v>
      </c>
      <c r="F36" s="9">
        <v>1586</v>
      </c>
      <c r="G36" s="9">
        <v>2517</v>
      </c>
      <c r="H36" s="9">
        <v>4515</v>
      </c>
      <c r="I36" s="9">
        <v>1</v>
      </c>
      <c r="J36" s="11">
        <f t="shared" si="3"/>
        <v>138384</v>
      </c>
      <c r="K36" s="11">
        <f t="shared" si="3"/>
        <v>16641</v>
      </c>
      <c r="L36" s="11">
        <f t="shared" si="3"/>
        <v>57121</v>
      </c>
      <c r="M36" s="9">
        <f t="shared" si="3"/>
        <v>87616</v>
      </c>
      <c r="N36" s="11">
        <f t="shared" si="3"/>
        <v>79524</v>
      </c>
      <c r="O36" s="11">
        <f t="shared" si="3"/>
        <v>47961</v>
      </c>
      <c r="P36" s="11">
        <f t="shared" si="3"/>
        <v>178929</v>
      </c>
      <c r="Q36" s="11">
        <f t="shared" si="3"/>
        <v>302500</v>
      </c>
      <c r="R36" s="11">
        <f t="shared" si="1"/>
        <v>908676</v>
      </c>
      <c r="S36" s="9">
        <f t="shared" si="2"/>
        <v>953.24498425116303</v>
      </c>
      <c r="T36" s="9">
        <v>1</v>
      </c>
      <c r="U36" s="9" t="s">
        <v>59</v>
      </c>
      <c r="V36" s="9">
        <v>16</v>
      </c>
      <c r="W36" s="9">
        <v>19</v>
      </c>
      <c r="X36" s="9">
        <v>35</v>
      </c>
    </row>
    <row r="37" spans="1:24" x14ac:dyDescent="0.25">
      <c r="A37" s="9">
        <v>1338</v>
      </c>
      <c r="B37" s="9">
        <v>927</v>
      </c>
      <c r="C37" s="9">
        <v>1097</v>
      </c>
      <c r="D37" s="9">
        <v>764</v>
      </c>
      <c r="E37" s="9">
        <v>1678</v>
      </c>
      <c r="F37" s="9">
        <v>2962</v>
      </c>
      <c r="G37" s="9">
        <v>4572</v>
      </c>
      <c r="H37" s="9">
        <v>3046</v>
      </c>
      <c r="I37" s="9">
        <v>1</v>
      </c>
      <c r="J37" s="11">
        <f t="shared" si="3"/>
        <v>373321</v>
      </c>
      <c r="K37" s="11">
        <f t="shared" si="3"/>
        <v>435600</v>
      </c>
      <c r="L37" s="11">
        <f t="shared" si="3"/>
        <v>36864</v>
      </c>
      <c r="M37" s="9">
        <f t="shared" si="3"/>
        <v>609961</v>
      </c>
      <c r="N37" s="11">
        <f t="shared" si="3"/>
        <v>222784</v>
      </c>
      <c r="O37" s="11">
        <f t="shared" si="3"/>
        <v>1338649</v>
      </c>
      <c r="P37" s="11">
        <f t="shared" si="3"/>
        <v>6140484</v>
      </c>
      <c r="Q37" s="11">
        <f t="shared" si="3"/>
        <v>844561</v>
      </c>
      <c r="R37" s="11">
        <f t="shared" si="1"/>
        <v>10002224</v>
      </c>
      <c r="S37" s="9">
        <f t="shared" si="2"/>
        <v>3162.6292858948864</v>
      </c>
      <c r="T37" s="9">
        <v>15</v>
      </c>
      <c r="U37" s="9" t="s">
        <v>59</v>
      </c>
      <c r="V37" s="9">
        <v>16</v>
      </c>
      <c r="W37" s="9">
        <v>19</v>
      </c>
      <c r="X37" s="9">
        <v>35</v>
      </c>
    </row>
    <row r="38" spans="1:24" x14ac:dyDescent="0.25">
      <c r="A38" s="9">
        <v>446</v>
      </c>
      <c r="B38" s="9">
        <v>1165</v>
      </c>
      <c r="C38" s="9">
        <v>1773</v>
      </c>
      <c r="D38" s="9">
        <v>2929</v>
      </c>
      <c r="E38" s="9">
        <v>2168</v>
      </c>
      <c r="F38" s="9">
        <v>2391</v>
      </c>
      <c r="G38" s="9">
        <v>2271</v>
      </c>
      <c r="H38" s="9">
        <v>3241</v>
      </c>
      <c r="I38" s="9">
        <v>1</v>
      </c>
      <c r="J38" s="11">
        <f t="shared" si="3"/>
        <v>2259009</v>
      </c>
      <c r="K38" s="11">
        <f t="shared" si="3"/>
        <v>178084</v>
      </c>
      <c r="L38" s="11">
        <f t="shared" si="3"/>
        <v>234256</v>
      </c>
      <c r="M38" s="9">
        <f t="shared" si="3"/>
        <v>1915456</v>
      </c>
      <c r="N38" s="11">
        <f t="shared" si="3"/>
        <v>324</v>
      </c>
      <c r="O38" s="11">
        <f t="shared" si="3"/>
        <v>343396</v>
      </c>
      <c r="P38" s="11">
        <f t="shared" si="3"/>
        <v>31329</v>
      </c>
      <c r="Q38" s="11">
        <f t="shared" si="3"/>
        <v>524176</v>
      </c>
      <c r="R38" s="11">
        <f t="shared" si="1"/>
        <v>5486030</v>
      </c>
      <c r="S38" s="9">
        <f t="shared" si="2"/>
        <v>2342.2275722055701</v>
      </c>
      <c r="T38" s="9">
        <v>7</v>
      </c>
      <c r="U38" s="9" t="s">
        <v>59</v>
      </c>
      <c r="V38" s="9">
        <v>16</v>
      </c>
      <c r="W38" s="9">
        <v>19</v>
      </c>
      <c r="X38" s="9">
        <v>35</v>
      </c>
    </row>
    <row r="39" spans="1:24" x14ac:dyDescent="0.25">
      <c r="A39" s="9">
        <v>2178</v>
      </c>
      <c r="B39" s="9">
        <v>2090</v>
      </c>
      <c r="C39" s="9">
        <v>1570</v>
      </c>
      <c r="D39" s="9">
        <v>1573</v>
      </c>
      <c r="E39" s="9">
        <v>1125</v>
      </c>
      <c r="F39" s="9">
        <v>2305</v>
      </c>
      <c r="G39" s="9">
        <v>1717</v>
      </c>
      <c r="H39" s="9">
        <v>3826</v>
      </c>
      <c r="I39" s="9">
        <v>1</v>
      </c>
      <c r="J39" s="11">
        <f t="shared" si="3"/>
        <v>52441</v>
      </c>
      <c r="K39" s="11">
        <f t="shared" si="3"/>
        <v>253009</v>
      </c>
      <c r="L39" s="11">
        <f t="shared" si="3"/>
        <v>78961</v>
      </c>
      <c r="M39" s="9">
        <f t="shared" si="3"/>
        <v>784</v>
      </c>
      <c r="N39" s="11">
        <f t="shared" si="3"/>
        <v>1050625</v>
      </c>
      <c r="O39" s="11">
        <f t="shared" si="3"/>
        <v>250000</v>
      </c>
      <c r="P39" s="11">
        <f t="shared" si="3"/>
        <v>142129</v>
      </c>
      <c r="Q39" s="11">
        <f t="shared" si="3"/>
        <v>19321</v>
      </c>
      <c r="R39" s="11">
        <f t="shared" si="1"/>
        <v>1847270</v>
      </c>
      <c r="S39" s="9">
        <f t="shared" si="2"/>
        <v>1359.143112405754</v>
      </c>
      <c r="T39" s="9">
        <v>2</v>
      </c>
      <c r="U39" s="9" t="s">
        <v>59</v>
      </c>
      <c r="V39" s="9">
        <v>16</v>
      </c>
      <c r="W39" s="9">
        <v>19</v>
      </c>
      <c r="X39" s="9">
        <v>35</v>
      </c>
    </row>
    <row r="40" spans="1:24" x14ac:dyDescent="0.25">
      <c r="A40" s="9">
        <v>2630</v>
      </c>
      <c r="B40" s="9">
        <v>1500</v>
      </c>
      <c r="C40" s="9">
        <v>2305</v>
      </c>
      <c r="D40" s="9">
        <v>2344</v>
      </c>
      <c r="E40" s="9">
        <v>1715</v>
      </c>
      <c r="F40" s="9">
        <v>3008</v>
      </c>
      <c r="G40" s="9">
        <v>2596</v>
      </c>
      <c r="H40" s="9">
        <v>286</v>
      </c>
      <c r="I40" s="9">
        <v>1</v>
      </c>
      <c r="J40" s="11">
        <f t="shared" si="3"/>
        <v>463761</v>
      </c>
      <c r="K40" s="11">
        <f t="shared" si="3"/>
        <v>7569</v>
      </c>
      <c r="L40" s="11">
        <f t="shared" si="3"/>
        <v>1032256</v>
      </c>
      <c r="M40" s="9">
        <f t="shared" si="3"/>
        <v>638401</v>
      </c>
      <c r="N40" s="11">
        <f t="shared" si="3"/>
        <v>189225</v>
      </c>
      <c r="O40" s="11">
        <f t="shared" si="3"/>
        <v>1447209</v>
      </c>
      <c r="P40" s="11">
        <f t="shared" si="3"/>
        <v>252004</v>
      </c>
      <c r="Q40" s="11">
        <f t="shared" si="3"/>
        <v>13535041</v>
      </c>
      <c r="R40" s="11">
        <f t="shared" si="1"/>
        <v>17565466</v>
      </c>
      <c r="S40" s="9">
        <f t="shared" si="2"/>
        <v>4191.1175120724065</v>
      </c>
      <c r="T40" s="9">
        <v>27</v>
      </c>
      <c r="U40" s="9" t="s">
        <v>59</v>
      </c>
      <c r="V40" s="9">
        <v>16</v>
      </c>
      <c r="W40" s="9">
        <v>19</v>
      </c>
      <c r="X40" s="9">
        <v>35</v>
      </c>
    </row>
    <row r="41" spans="1:24" x14ac:dyDescent="0.25">
      <c r="A41" s="9">
        <v>2727</v>
      </c>
      <c r="B41" s="9">
        <v>1307</v>
      </c>
      <c r="C41" s="9">
        <v>661</v>
      </c>
      <c r="D41" s="9">
        <v>1502</v>
      </c>
      <c r="E41" s="9">
        <v>1372</v>
      </c>
      <c r="F41" s="9">
        <v>2737</v>
      </c>
      <c r="G41" s="9">
        <v>3615</v>
      </c>
      <c r="H41" s="9">
        <v>2463</v>
      </c>
      <c r="I41" s="9">
        <v>1</v>
      </c>
      <c r="J41" s="11">
        <f t="shared" si="3"/>
        <v>605284</v>
      </c>
      <c r="K41" s="11">
        <f t="shared" si="3"/>
        <v>78400</v>
      </c>
      <c r="L41" s="11">
        <f t="shared" si="3"/>
        <v>394384</v>
      </c>
      <c r="M41" s="9">
        <f t="shared" si="3"/>
        <v>1849</v>
      </c>
      <c r="N41" s="11">
        <f t="shared" si="3"/>
        <v>605284</v>
      </c>
      <c r="O41" s="11">
        <f t="shared" si="3"/>
        <v>868624</v>
      </c>
      <c r="P41" s="11">
        <f t="shared" si="3"/>
        <v>2313441</v>
      </c>
      <c r="Q41" s="11">
        <f t="shared" si="3"/>
        <v>2256004</v>
      </c>
      <c r="R41" s="11">
        <f t="shared" si="1"/>
        <v>7123270</v>
      </c>
      <c r="S41" s="9">
        <f t="shared" si="2"/>
        <v>2668.9454846437011</v>
      </c>
      <c r="T41" s="9">
        <v>10</v>
      </c>
      <c r="U41" s="9" t="s">
        <v>59</v>
      </c>
      <c r="V41" s="9">
        <v>16</v>
      </c>
      <c r="W41" s="9">
        <v>19</v>
      </c>
      <c r="X41" s="9">
        <v>35</v>
      </c>
    </row>
    <row r="42" spans="1:24" x14ac:dyDescent="0.25">
      <c r="A42" s="9">
        <v>267</v>
      </c>
      <c r="B42" s="9">
        <v>1241</v>
      </c>
      <c r="C42" s="9">
        <v>1719</v>
      </c>
      <c r="D42" s="9">
        <v>2088</v>
      </c>
      <c r="E42" s="9">
        <v>2001</v>
      </c>
      <c r="F42" s="9">
        <v>1765</v>
      </c>
      <c r="G42" s="9">
        <v>2604</v>
      </c>
      <c r="H42" s="9">
        <v>4699</v>
      </c>
      <c r="I42" s="9">
        <v>1</v>
      </c>
      <c r="J42" s="11">
        <f t="shared" si="3"/>
        <v>2829124</v>
      </c>
      <c r="K42" s="11">
        <f t="shared" si="3"/>
        <v>119716</v>
      </c>
      <c r="L42" s="11">
        <f t="shared" si="3"/>
        <v>184900</v>
      </c>
      <c r="M42" s="9">
        <f t="shared" si="3"/>
        <v>294849</v>
      </c>
      <c r="N42" s="11">
        <f t="shared" si="3"/>
        <v>22201</v>
      </c>
      <c r="O42" s="11">
        <f t="shared" si="3"/>
        <v>1600</v>
      </c>
      <c r="P42" s="11">
        <f t="shared" si="3"/>
        <v>260100</v>
      </c>
      <c r="Q42" s="11">
        <f t="shared" si="3"/>
        <v>538756</v>
      </c>
      <c r="R42" s="11">
        <f t="shared" si="1"/>
        <v>4251246</v>
      </c>
      <c r="S42" s="9">
        <f t="shared" si="2"/>
        <v>2061.8549900514345</v>
      </c>
      <c r="T42" s="9">
        <v>6</v>
      </c>
      <c r="U42" s="9" t="s">
        <v>59</v>
      </c>
      <c r="V42" s="9">
        <v>16</v>
      </c>
      <c r="W42" s="9">
        <v>19</v>
      </c>
      <c r="X42" s="9">
        <v>35</v>
      </c>
    </row>
    <row r="43" spans="1:24" x14ac:dyDescent="0.25">
      <c r="A43" t="s">
        <v>25</v>
      </c>
      <c r="J43" s="1"/>
      <c r="K43" s="1"/>
      <c r="L43" s="1"/>
    </row>
    <row r="44" spans="1:24" x14ac:dyDescent="0.25">
      <c r="A44" s="4" t="s">
        <v>43</v>
      </c>
      <c r="B44" s="4" t="s">
        <v>44</v>
      </c>
      <c r="C44" s="4" t="s">
        <v>45</v>
      </c>
      <c r="D44" s="4" t="s">
        <v>46</v>
      </c>
      <c r="E44" s="4" t="s">
        <v>47</v>
      </c>
      <c r="F44" s="4" t="s">
        <v>48</v>
      </c>
      <c r="G44" s="4" t="s">
        <v>49</v>
      </c>
      <c r="H44" s="4" t="s">
        <v>50</v>
      </c>
      <c r="I44" s="4" t="s">
        <v>8</v>
      </c>
      <c r="J44" s="1"/>
      <c r="K44" s="1"/>
      <c r="L44" s="1"/>
    </row>
    <row r="45" spans="1:24" x14ac:dyDescent="0.25">
      <c r="A45" s="2">
        <v>1949</v>
      </c>
      <c r="B45" s="2">
        <v>1587</v>
      </c>
      <c r="C45" s="2">
        <v>1289</v>
      </c>
      <c r="D45" s="2">
        <v>1545</v>
      </c>
      <c r="E45" s="2">
        <v>2150</v>
      </c>
      <c r="F45" s="2">
        <v>1805</v>
      </c>
      <c r="G45" s="2">
        <v>2094</v>
      </c>
      <c r="H45" s="2">
        <v>3965</v>
      </c>
      <c r="I45" s="3">
        <v>1</v>
      </c>
      <c r="J45" s="1"/>
      <c r="K45" s="1"/>
      <c r="L45" s="1"/>
    </row>
    <row r="46" spans="1:24" x14ac:dyDescent="0.25">
      <c r="A46" s="2">
        <v>1949</v>
      </c>
      <c r="B46" s="2">
        <v>1587</v>
      </c>
      <c r="C46" s="2">
        <v>1289</v>
      </c>
      <c r="D46" s="2">
        <v>1545</v>
      </c>
      <c r="E46" s="2">
        <v>2150</v>
      </c>
      <c r="F46" s="2">
        <v>1805</v>
      </c>
      <c r="G46" s="2">
        <v>2094</v>
      </c>
      <c r="H46" s="2">
        <v>3965</v>
      </c>
      <c r="I46" s="3">
        <v>1</v>
      </c>
      <c r="J46" s="1"/>
      <c r="K46" s="1"/>
      <c r="L46" s="1"/>
    </row>
    <row r="47" spans="1:24" x14ac:dyDescent="0.25">
      <c r="A47" s="2">
        <v>1949</v>
      </c>
      <c r="B47" s="2">
        <v>1587</v>
      </c>
      <c r="C47" s="2">
        <v>1289</v>
      </c>
      <c r="D47" s="2">
        <v>1545</v>
      </c>
      <c r="E47" s="2">
        <v>2150</v>
      </c>
      <c r="F47" s="2">
        <v>1805</v>
      </c>
      <c r="G47" s="2">
        <v>2094</v>
      </c>
      <c r="H47" s="2">
        <v>3965</v>
      </c>
      <c r="I47" s="3">
        <v>1</v>
      </c>
      <c r="J47" s="1"/>
      <c r="K47" s="1"/>
      <c r="L47" s="1"/>
    </row>
    <row r="48" spans="1:24" x14ac:dyDescent="0.25">
      <c r="A48" s="2">
        <v>1949</v>
      </c>
      <c r="B48" s="2">
        <v>1587</v>
      </c>
      <c r="C48" s="2">
        <v>1289</v>
      </c>
      <c r="D48" s="2">
        <v>1545</v>
      </c>
      <c r="E48" s="2">
        <v>2150</v>
      </c>
      <c r="F48" s="2">
        <v>1805</v>
      </c>
      <c r="G48" s="2">
        <v>2094</v>
      </c>
      <c r="H48" s="2">
        <v>3965</v>
      </c>
      <c r="I48" s="3">
        <v>1</v>
      </c>
      <c r="J48" s="1"/>
      <c r="K48" s="1"/>
      <c r="L48" s="1"/>
    </row>
    <row r="49" spans="1:12" x14ac:dyDescent="0.25">
      <c r="A49" s="2">
        <v>1949</v>
      </c>
      <c r="B49" s="2">
        <v>1587</v>
      </c>
      <c r="C49" s="2">
        <v>1289</v>
      </c>
      <c r="D49" s="2">
        <v>1545</v>
      </c>
      <c r="E49" s="2">
        <v>2150</v>
      </c>
      <c r="F49" s="2">
        <v>1805</v>
      </c>
      <c r="G49" s="2">
        <v>2094</v>
      </c>
      <c r="H49" s="2">
        <v>3965</v>
      </c>
      <c r="I49" s="3">
        <v>1</v>
      </c>
      <c r="J49" s="1"/>
      <c r="K49" s="1"/>
      <c r="L49" s="1"/>
    </row>
    <row r="50" spans="1:12" x14ac:dyDescent="0.25">
      <c r="A50" s="2">
        <v>1949</v>
      </c>
      <c r="B50" s="2">
        <v>1587</v>
      </c>
      <c r="C50" s="2">
        <v>1289</v>
      </c>
      <c r="D50" s="2">
        <v>1545</v>
      </c>
      <c r="E50" s="2">
        <v>2150</v>
      </c>
      <c r="F50" s="2">
        <v>1805</v>
      </c>
      <c r="G50" s="2">
        <v>2094</v>
      </c>
      <c r="H50" s="2">
        <v>3965</v>
      </c>
      <c r="I50" s="3">
        <v>1</v>
      </c>
      <c r="J50" s="1"/>
      <c r="K50" s="1"/>
      <c r="L50" s="1"/>
    </row>
    <row r="51" spans="1:12" x14ac:dyDescent="0.25">
      <c r="A51" s="2">
        <v>1949</v>
      </c>
      <c r="B51" s="2">
        <v>1587</v>
      </c>
      <c r="C51" s="2">
        <v>1289</v>
      </c>
      <c r="D51" s="2">
        <v>1545</v>
      </c>
      <c r="E51" s="2">
        <v>2150</v>
      </c>
      <c r="F51" s="2">
        <v>1805</v>
      </c>
      <c r="G51" s="2">
        <v>2094</v>
      </c>
      <c r="H51" s="2">
        <v>3965</v>
      </c>
      <c r="I51" s="3">
        <v>1</v>
      </c>
      <c r="J51" s="1"/>
      <c r="K51" s="1"/>
      <c r="L51" s="1"/>
    </row>
    <row r="52" spans="1:12" x14ac:dyDescent="0.25">
      <c r="A52" s="2">
        <v>1949</v>
      </c>
      <c r="B52" s="2">
        <v>1587</v>
      </c>
      <c r="C52" s="2">
        <v>1289</v>
      </c>
      <c r="D52" s="2">
        <v>1545</v>
      </c>
      <c r="E52" s="2">
        <v>2150</v>
      </c>
      <c r="F52" s="2">
        <v>1805</v>
      </c>
      <c r="G52" s="2">
        <v>2094</v>
      </c>
      <c r="H52" s="2">
        <v>3965</v>
      </c>
      <c r="I52" s="3">
        <v>1</v>
      </c>
      <c r="J52" s="1"/>
      <c r="K52" s="1"/>
      <c r="L52" s="1"/>
    </row>
    <row r="53" spans="1:12" x14ac:dyDescent="0.25">
      <c r="A53" s="2">
        <v>1949</v>
      </c>
      <c r="B53" s="2">
        <v>1587</v>
      </c>
      <c r="C53" s="2">
        <v>1289</v>
      </c>
      <c r="D53" s="2">
        <v>1545</v>
      </c>
      <c r="E53" s="2">
        <v>2150</v>
      </c>
      <c r="F53" s="2">
        <v>1805</v>
      </c>
      <c r="G53" s="2">
        <v>2094</v>
      </c>
      <c r="H53" s="2">
        <v>3965</v>
      </c>
      <c r="I53" s="3">
        <v>1</v>
      </c>
      <c r="J53" s="1"/>
      <c r="K53" s="1"/>
      <c r="L53" s="1"/>
    </row>
    <row r="54" spans="1:12" x14ac:dyDescent="0.25">
      <c r="A54" s="2">
        <v>1949</v>
      </c>
      <c r="B54" s="2">
        <v>1587</v>
      </c>
      <c r="C54" s="2">
        <v>1289</v>
      </c>
      <c r="D54" s="2">
        <v>1545</v>
      </c>
      <c r="E54" s="2">
        <v>2150</v>
      </c>
      <c r="F54" s="2">
        <v>1805</v>
      </c>
      <c r="G54" s="2">
        <v>2094</v>
      </c>
      <c r="H54" s="2">
        <v>3965</v>
      </c>
      <c r="I54" s="3">
        <v>1</v>
      </c>
      <c r="J54" s="1"/>
      <c r="K54" s="1"/>
      <c r="L54" s="1"/>
    </row>
    <row r="55" spans="1:12" x14ac:dyDescent="0.25">
      <c r="A55" s="2">
        <v>1949</v>
      </c>
      <c r="B55" s="2">
        <v>1587</v>
      </c>
      <c r="C55" s="2">
        <v>1289</v>
      </c>
      <c r="D55" s="2">
        <v>1545</v>
      </c>
      <c r="E55" s="2">
        <v>2150</v>
      </c>
      <c r="F55" s="2">
        <v>1805</v>
      </c>
      <c r="G55" s="2">
        <v>2094</v>
      </c>
      <c r="H55" s="2">
        <v>3965</v>
      </c>
      <c r="I55" s="3">
        <v>1</v>
      </c>
      <c r="J55" s="1"/>
      <c r="K55" s="1"/>
      <c r="L55" s="1"/>
    </row>
    <row r="56" spans="1:12" x14ac:dyDescent="0.25">
      <c r="A56" s="2">
        <v>1949</v>
      </c>
      <c r="B56" s="2">
        <v>1587</v>
      </c>
      <c r="C56" s="2">
        <v>1289</v>
      </c>
      <c r="D56" s="2">
        <v>1545</v>
      </c>
      <c r="E56" s="2">
        <v>2150</v>
      </c>
      <c r="F56" s="2">
        <v>1805</v>
      </c>
      <c r="G56" s="2">
        <v>2094</v>
      </c>
      <c r="H56" s="2">
        <v>3965</v>
      </c>
      <c r="I56" s="3">
        <v>1</v>
      </c>
      <c r="J56" s="1"/>
      <c r="K56" s="1"/>
      <c r="L56" s="1"/>
    </row>
    <row r="57" spans="1:12" x14ac:dyDescent="0.25">
      <c r="A57" s="2">
        <v>1949</v>
      </c>
      <c r="B57" s="2">
        <v>1587</v>
      </c>
      <c r="C57" s="2">
        <v>1289</v>
      </c>
      <c r="D57" s="2">
        <v>1545</v>
      </c>
      <c r="E57" s="2">
        <v>2150</v>
      </c>
      <c r="F57" s="2">
        <v>1805</v>
      </c>
      <c r="G57" s="2">
        <v>2094</v>
      </c>
      <c r="H57" s="2">
        <v>3965</v>
      </c>
      <c r="I57" s="3">
        <v>1</v>
      </c>
      <c r="J57" s="1"/>
      <c r="K57" s="1"/>
      <c r="L57" s="1"/>
    </row>
    <row r="58" spans="1:12" x14ac:dyDescent="0.25">
      <c r="A58" s="2">
        <v>1949</v>
      </c>
      <c r="B58" s="2">
        <v>1587</v>
      </c>
      <c r="C58" s="2">
        <v>1289</v>
      </c>
      <c r="D58" s="2">
        <v>1545</v>
      </c>
      <c r="E58" s="2">
        <v>2150</v>
      </c>
      <c r="F58" s="2">
        <v>1805</v>
      </c>
      <c r="G58" s="2">
        <v>2094</v>
      </c>
      <c r="H58" s="2">
        <v>3965</v>
      </c>
      <c r="I58" s="3">
        <v>1</v>
      </c>
      <c r="J58" s="1"/>
      <c r="K58" s="1"/>
      <c r="L58" s="1"/>
    </row>
    <row r="59" spans="1:12" x14ac:dyDescent="0.25">
      <c r="A59" s="2">
        <v>1949</v>
      </c>
      <c r="B59" s="2">
        <v>1587</v>
      </c>
      <c r="C59" s="2">
        <v>1289</v>
      </c>
      <c r="D59" s="2">
        <v>1545</v>
      </c>
      <c r="E59" s="2">
        <v>2150</v>
      </c>
      <c r="F59" s="2">
        <v>1805</v>
      </c>
      <c r="G59" s="2">
        <v>2094</v>
      </c>
      <c r="H59" s="2">
        <v>3965</v>
      </c>
      <c r="I59" s="3">
        <v>1</v>
      </c>
      <c r="J59" s="1"/>
      <c r="K59" s="1"/>
      <c r="L59" s="1"/>
    </row>
    <row r="60" spans="1:12" x14ac:dyDescent="0.25">
      <c r="A60" s="2">
        <v>1949</v>
      </c>
      <c r="B60" s="2">
        <v>1587</v>
      </c>
      <c r="C60" s="2">
        <v>1289</v>
      </c>
      <c r="D60" s="2">
        <v>1545</v>
      </c>
      <c r="E60" s="2">
        <v>2150</v>
      </c>
      <c r="F60" s="2">
        <v>1805</v>
      </c>
      <c r="G60" s="2">
        <v>2094</v>
      </c>
      <c r="H60" s="2">
        <v>3965</v>
      </c>
      <c r="I60" s="3">
        <v>1</v>
      </c>
      <c r="J60" s="1"/>
      <c r="K60" s="1"/>
      <c r="L60" s="1"/>
    </row>
    <row r="61" spans="1:12" x14ac:dyDescent="0.25">
      <c r="A61" s="2">
        <v>1949</v>
      </c>
      <c r="B61" s="2">
        <v>1587</v>
      </c>
      <c r="C61" s="2">
        <v>1289</v>
      </c>
      <c r="D61" s="2">
        <v>1545</v>
      </c>
      <c r="E61" s="2">
        <v>2150</v>
      </c>
      <c r="F61" s="2">
        <v>1805</v>
      </c>
      <c r="G61" s="2">
        <v>2094</v>
      </c>
      <c r="H61" s="2">
        <v>3965</v>
      </c>
      <c r="I61" s="3">
        <v>1</v>
      </c>
      <c r="J61" s="1"/>
      <c r="K61" s="1"/>
      <c r="L61" s="1"/>
    </row>
    <row r="62" spans="1:12" x14ac:dyDescent="0.25">
      <c r="A62" s="2">
        <v>1949</v>
      </c>
      <c r="B62" s="2">
        <v>1587</v>
      </c>
      <c r="C62" s="2">
        <v>1289</v>
      </c>
      <c r="D62" s="2">
        <v>1545</v>
      </c>
      <c r="E62" s="2">
        <v>2150</v>
      </c>
      <c r="F62" s="2">
        <v>1805</v>
      </c>
      <c r="G62" s="2">
        <v>2094</v>
      </c>
      <c r="H62" s="2">
        <v>3965</v>
      </c>
      <c r="I62" s="3">
        <v>1</v>
      </c>
      <c r="J62" s="1"/>
      <c r="K62" s="1"/>
      <c r="L62" s="1"/>
    </row>
    <row r="63" spans="1:12" x14ac:dyDescent="0.25">
      <c r="A63" s="2">
        <v>1949</v>
      </c>
      <c r="B63" s="2">
        <v>1587</v>
      </c>
      <c r="C63" s="2">
        <v>1289</v>
      </c>
      <c r="D63" s="2">
        <v>1545</v>
      </c>
      <c r="E63" s="2">
        <v>2150</v>
      </c>
      <c r="F63" s="2">
        <v>1805</v>
      </c>
      <c r="G63" s="2">
        <v>2094</v>
      </c>
      <c r="H63" s="2">
        <v>3965</v>
      </c>
      <c r="I63" s="3">
        <v>1</v>
      </c>
      <c r="J63" s="1"/>
      <c r="K63" s="1"/>
      <c r="L63" s="1"/>
    </row>
    <row r="64" spans="1:12" x14ac:dyDescent="0.25">
      <c r="A64" s="2">
        <v>1949</v>
      </c>
      <c r="B64" s="2">
        <v>1587</v>
      </c>
      <c r="C64" s="2">
        <v>1289</v>
      </c>
      <c r="D64" s="2">
        <v>1545</v>
      </c>
      <c r="E64" s="2">
        <v>2150</v>
      </c>
      <c r="F64" s="2">
        <v>1805</v>
      </c>
      <c r="G64" s="2">
        <v>2094</v>
      </c>
      <c r="H64" s="2">
        <v>3965</v>
      </c>
      <c r="I64" s="3">
        <v>1</v>
      </c>
      <c r="J64" s="1"/>
      <c r="K64" s="1"/>
      <c r="L64" s="1"/>
    </row>
    <row r="65" spans="1:12" x14ac:dyDescent="0.25">
      <c r="A65" s="2">
        <v>1949</v>
      </c>
      <c r="B65" s="2">
        <v>1587</v>
      </c>
      <c r="C65" s="2">
        <v>1289</v>
      </c>
      <c r="D65" s="2">
        <v>1545</v>
      </c>
      <c r="E65" s="2">
        <v>2150</v>
      </c>
      <c r="F65" s="2">
        <v>1805</v>
      </c>
      <c r="G65" s="2">
        <v>2094</v>
      </c>
      <c r="H65" s="2">
        <v>3965</v>
      </c>
      <c r="I65" s="3">
        <v>1</v>
      </c>
      <c r="J65" s="1"/>
      <c r="K65" s="1"/>
      <c r="L65" s="1"/>
    </row>
    <row r="66" spans="1:12" x14ac:dyDescent="0.25">
      <c r="A66" s="2">
        <v>1949</v>
      </c>
      <c r="B66" s="2">
        <v>1587</v>
      </c>
      <c r="C66" s="2">
        <v>1289</v>
      </c>
      <c r="D66" s="2">
        <v>1545</v>
      </c>
      <c r="E66" s="2">
        <v>2150</v>
      </c>
      <c r="F66" s="2">
        <v>1805</v>
      </c>
      <c r="G66" s="2">
        <v>2094</v>
      </c>
      <c r="H66" s="2">
        <v>3965</v>
      </c>
      <c r="I66" s="3">
        <v>1</v>
      </c>
      <c r="J66" s="1"/>
      <c r="K66" s="1"/>
      <c r="L66" s="1"/>
    </row>
    <row r="67" spans="1:12" x14ac:dyDescent="0.25">
      <c r="A67" s="2">
        <v>1949</v>
      </c>
      <c r="B67" s="2">
        <v>1587</v>
      </c>
      <c r="C67" s="2">
        <v>1289</v>
      </c>
      <c r="D67" s="2">
        <v>1545</v>
      </c>
      <c r="E67" s="2">
        <v>2150</v>
      </c>
      <c r="F67" s="2">
        <v>1805</v>
      </c>
      <c r="G67" s="2">
        <v>2094</v>
      </c>
      <c r="H67" s="2">
        <v>3965</v>
      </c>
      <c r="I67" s="3">
        <v>1</v>
      </c>
      <c r="J67" s="1"/>
      <c r="K67" s="1"/>
      <c r="L67" s="1"/>
    </row>
    <row r="68" spans="1:12" x14ac:dyDescent="0.25">
      <c r="A68" s="2">
        <v>1949</v>
      </c>
      <c r="B68" s="2">
        <v>1587</v>
      </c>
      <c r="C68" s="2">
        <v>1289</v>
      </c>
      <c r="D68" s="2">
        <v>1545</v>
      </c>
      <c r="E68" s="2">
        <v>2150</v>
      </c>
      <c r="F68" s="2">
        <v>1805</v>
      </c>
      <c r="G68" s="2">
        <v>2094</v>
      </c>
      <c r="H68" s="2">
        <v>3965</v>
      </c>
      <c r="I68" s="3">
        <v>1</v>
      </c>
      <c r="J68" s="1"/>
      <c r="K68" s="1"/>
      <c r="L68" s="1"/>
    </row>
    <row r="69" spans="1:12" x14ac:dyDescent="0.25">
      <c r="A69" s="2">
        <v>1949</v>
      </c>
      <c r="B69" s="2">
        <v>1587</v>
      </c>
      <c r="C69" s="2">
        <v>1289</v>
      </c>
      <c r="D69" s="2">
        <v>1545</v>
      </c>
      <c r="E69" s="2">
        <v>2150</v>
      </c>
      <c r="F69" s="2">
        <v>1805</v>
      </c>
      <c r="G69" s="2">
        <v>2094</v>
      </c>
      <c r="H69" s="2">
        <v>3965</v>
      </c>
      <c r="I69" s="3">
        <v>1</v>
      </c>
      <c r="J69" s="1"/>
      <c r="K69" s="1"/>
      <c r="L69" s="1"/>
    </row>
    <row r="70" spans="1:12" x14ac:dyDescent="0.25">
      <c r="A70" s="2">
        <v>1949</v>
      </c>
      <c r="B70" s="2">
        <v>1587</v>
      </c>
      <c r="C70" s="2">
        <v>1289</v>
      </c>
      <c r="D70" s="2">
        <v>1545</v>
      </c>
      <c r="E70" s="2">
        <v>2150</v>
      </c>
      <c r="F70" s="2">
        <v>1805</v>
      </c>
      <c r="G70" s="2">
        <v>2094</v>
      </c>
      <c r="H70" s="2">
        <v>3965</v>
      </c>
      <c r="I70" s="3">
        <v>1</v>
      </c>
      <c r="J70" s="1"/>
      <c r="K70" s="1"/>
      <c r="L70" s="1"/>
    </row>
    <row r="71" spans="1:12" x14ac:dyDescent="0.25">
      <c r="A71" s="2">
        <v>1949</v>
      </c>
      <c r="B71" s="2">
        <v>1587</v>
      </c>
      <c r="C71" s="2">
        <v>1289</v>
      </c>
      <c r="D71" s="2">
        <v>1545</v>
      </c>
      <c r="E71" s="2">
        <v>2150</v>
      </c>
      <c r="F71" s="2">
        <v>1805</v>
      </c>
      <c r="G71" s="2">
        <v>2094</v>
      </c>
      <c r="H71" s="2">
        <v>3965</v>
      </c>
      <c r="I71" s="3">
        <v>1</v>
      </c>
      <c r="J71" s="1"/>
      <c r="K71" s="1"/>
      <c r="L71" s="1"/>
    </row>
    <row r="72" spans="1:12" x14ac:dyDescent="0.25">
      <c r="A72" s="2">
        <v>1949</v>
      </c>
      <c r="B72" s="2">
        <v>1587</v>
      </c>
      <c r="C72" s="2">
        <v>1289</v>
      </c>
      <c r="D72" s="2">
        <v>1545</v>
      </c>
      <c r="E72" s="2">
        <v>2150</v>
      </c>
      <c r="F72" s="2">
        <v>1805</v>
      </c>
      <c r="G72" s="2">
        <v>2094</v>
      </c>
      <c r="H72" s="2">
        <v>3965</v>
      </c>
      <c r="I72" s="3">
        <v>1</v>
      </c>
      <c r="J72" s="1"/>
      <c r="K72" s="1"/>
      <c r="L72" s="1"/>
    </row>
    <row r="73" spans="1:12" x14ac:dyDescent="0.25">
      <c r="A73" s="2">
        <v>1949</v>
      </c>
      <c r="B73" s="2">
        <v>1587</v>
      </c>
      <c r="C73" s="2">
        <v>1289</v>
      </c>
      <c r="D73" s="2">
        <v>1545</v>
      </c>
      <c r="E73" s="2">
        <v>2150</v>
      </c>
      <c r="F73" s="2">
        <v>1805</v>
      </c>
      <c r="G73" s="2">
        <v>2094</v>
      </c>
      <c r="H73" s="2">
        <v>3965</v>
      </c>
      <c r="I73" s="3">
        <v>1</v>
      </c>
      <c r="J73" s="1"/>
      <c r="K73" s="1"/>
      <c r="L73" s="1"/>
    </row>
    <row r="74" spans="1:12" x14ac:dyDescent="0.25">
      <c r="A74" s="2">
        <v>1949</v>
      </c>
      <c r="B74" s="2">
        <v>1587</v>
      </c>
      <c r="C74" s="2">
        <v>1289</v>
      </c>
      <c r="D74" s="2">
        <v>1545</v>
      </c>
      <c r="E74" s="2">
        <v>2150</v>
      </c>
      <c r="F74" s="2">
        <v>1805</v>
      </c>
      <c r="G74" s="2">
        <v>2094</v>
      </c>
      <c r="H74" s="2">
        <v>3965</v>
      </c>
      <c r="I74" s="3">
        <v>1</v>
      </c>
      <c r="J74" s="1"/>
      <c r="K74" s="1"/>
      <c r="L74" s="1"/>
    </row>
    <row r="75" spans="1:12" x14ac:dyDescent="0.25">
      <c r="A75" s="2">
        <v>1949</v>
      </c>
      <c r="B75" s="2">
        <v>1587</v>
      </c>
      <c r="C75" s="2">
        <v>1289</v>
      </c>
      <c r="D75" s="2">
        <v>1545</v>
      </c>
      <c r="E75" s="2">
        <v>2150</v>
      </c>
      <c r="F75" s="2">
        <v>1805</v>
      </c>
      <c r="G75" s="2">
        <v>2094</v>
      </c>
      <c r="H75" s="2">
        <v>3965</v>
      </c>
      <c r="I75" s="3">
        <v>1</v>
      </c>
      <c r="J75" s="1"/>
      <c r="K75" s="1"/>
      <c r="L75" s="1"/>
    </row>
    <row r="76" spans="1:12" x14ac:dyDescent="0.25">
      <c r="A76" s="2">
        <v>1949</v>
      </c>
      <c r="B76" s="2">
        <v>1587</v>
      </c>
      <c r="C76" s="2">
        <v>1289</v>
      </c>
      <c r="D76" s="2">
        <v>1545</v>
      </c>
      <c r="E76" s="2">
        <v>2150</v>
      </c>
      <c r="F76" s="2">
        <v>1805</v>
      </c>
      <c r="G76" s="2">
        <v>2094</v>
      </c>
      <c r="H76" s="2">
        <v>3965</v>
      </c>
      <c r="I76" s="3">
        <v>1</v>
      </c>
      <c r="J76" s="1"/>
      <c r="K76" s="1"/>
      <c r="L76" s="1"/>
    </row>
    <row r="77" spans="1:12" x14ac:dyDescent="0.25">
      <c r="A77" s="2">
        <v>1949</v>
      </c>
      <c r="B77" s="2">
        <v>1587</v>
      </c>
      <c r="C77" s="2">
        <v>1289</v>
      </c>
      <c r="D77" s="2">
        <v>1545</v>
      </c>
      <c r="E77" s="2">
        <v>2150</v>
      </c>
      <c r="F77" s="2">
        <v>1805</v>
      </c>
      <c r="G77" s="2">
        <v>2094</v>
      </c>
      <c r="H77" s="2">
        <v>3965</v>
      </c>
      <c r="I77" s="3">
        <v>1</v>
      </c>
      <c r="J77" s="1"/>
      <c r="K77" s="1"/>
      <c r="L77" s="1"/>
    </row>
    <row r="78" spans="1:12" x14ac:dyDescent="0.25">
      <c r="A78" s="2">
        <v>1949</v>
      </c>
      <c r="B78" s="2">
        <v>1587</v>
      </c>
      <c r="C78" s="2">
        <v>1289</v>
      </c>
      <c r="D78" s="2">
        <v>1545</v>
      </c>
      <c r="E78" s="2">
        <v>2150</v>
      </c>
      <c r="F78" s="2">
        <v>1805</v>
      </c>
      <c r="G78" s="2">
        <v>2094</v>
      </c>
      <c r="H78" s="2">
        <v>3965</v>
      </c>
      <c r="I78" s="3">
        <v>1</v>
      </c>
      <c r="J78" s="1"/>
      <c r="K78" s="1"/>
      <c r="L78" s="1"/>
    </row>
    <row r="79" spans="1:12" x14ac:dyDescent="0.25">
      <c r="A79" s="2">
        <v>1949</v>
      </c>
      <c r="B79" s="2">
        <v>1587</v>
      </c>
      <c r="C79" s="2">
        <v>1289</v>
      </c>
      <c r="D79" s="2">
        <v>1545</v>
      </c>
      <c r="E79" s="2">
        <v>2150</v>
      </c>
      <c r="F79" s="2">
        <v>1805</v>
      </c>
      <c r="G79" s="2">
        <v>2094</v>
      </c>
      <c r="H79" s="2">
        <v>3965</v>
      </c>
      <c r="I79" s="3">
        <v>1</v>
      </c>
      <c r="J79" s="1"/>
      <c r="K79" s="1"/>
      <c r="L79" s="1"/>
    </row>
    <row r="80" spans="1:12" x14ac:dyDescent="0.25">
      <c r="A80" s="2">
        <v>1949</v>
      </c>
      <c r="B80" s="2">
        <v>1587</v>
      </c>
      <c r="C80" s="2">
        <v>1289</v>
      </c>
      <c r="D80" s="2">
        <v>1545</v>
      </c>
      <c r="E80" s="2">
        <v>2150</v>
      </c>
      <c r="F80" s="2">
        <v>1805</v>
      </c>
      <c r="G80" s="2">
        <v>2094</v>
      </c>
      <c r="H80" s="2">
        <v>3965</v>
      </c>
      <c r="I80" s="3">
        <v>1</v>
      </c>
      <c r="J80" s="1"/>
      <c r="K80" s="1"/>
      <c r="L80" s="1"/>
    </row>
    <row r="81" spans="1:12" x14ac:dyDescent="0.25">
      <c r="A81" s="2">
        <v>1949</v>
      </c>
      <c r="B81" s="2">
        <v>1587</v>
      </c>
      <c r="C81" s="2">
        <v>1289</v>
      </c>
      <c r="D81" s="2">
        <v>1545</v>
      </c>
      <c r="E81" s="2">
        <v>2150</v>
      </c>
      <c r="F81" s="2">
        <v>1805</v>
      </c>
      <c r="G81" s="2">
        <v>2094</v>
      </c>
      <c r="H81" s="2">
        <v>3965</v>
      </c>
      <c r="I81" s="3">
        <v>1</v>
      </c>
      <c r="J81" s="1"/>
      <c r="K81" s="1"/>
      <c r="L81" s="1"/>
    </row>
    <row r="82" spans="1:12" x14ac:dyDescent="0.25">
      <c r="A82" s="2">
        <v>1949</v>
      </c>
      <c r="B82" s="2">
        <v>1587</v>
      </c>
      <c r="C82" s="2">
        <v>1289</v>
      </c>
      <c r="D82" s="2">
        <v>1545</v>
      </c>
      <c r="E82" s="2">
        <v>2150</v>
      </c>
      <c r="F82" s="2">
        <v>1805</v>
      </c>
      <c r="G82" s="2">
        <v>2094</v>
      </c>
      <c r="H82" s="2">
        <v>3965</v>
      </c>
      <c r="I82" s="3">
        <v>1</v>
      </c>
      <c r="J82" s="1"/>
      <c r="K82" s="1"/>
      <c r="L82" s="1"/>
    </row>
    <row r="83" spans="1:12" x14ac:dyDescent="0.25">
      <c r="A83" s="2">
        <v>1949</v>
      </c>
      <c r="B83" s="2">
        <v>1587</v>
      </c>
      <c r="C83" s="2">
        <v>1289</v>
      </c>
      <c r="D83" s="2">
        <v>1545</v>
      </c>
      <c r="E83" s="2">
        <v>2150</v>
      </c>
      <c r="F83" s="2">
        <v>1805</v>
      </c>
      <c r="G83" s="2">
        <v>2094</v>
      </c>
      <c r="H83" s="2">
        <v>3965</v>
      </c>
      <c r="I83" s="3">
        <v>1</v>
      </c>
      <c r="J83" s="1"/>
      <c r="K83" s="1"/>
      <c r="L83" s="1"/>
    </row>
    <row r="84" spans="1:12" x14ac:dyDescent="0.25">
      <c r="A84" s="2">
        <v>1949</v>
      </c>
      <c r="B84" s="2">
        <v>1587</v>
      </c>
      <c r="C84" s="2">
        <v>1289</v>
      </c>
      <c r="D84" s="2">
        <v>1545</v>
      </c>
      <c r="E84" s="2">
        <v>2150</v>
      </c>
      <c r="F84" s="2">
        <v>1805</v>
      </c>
      <c r="G84" s="2">
        <v>2094</v>
      </c>
      <c r="H84" s="2">
        <v>3965</v>
      </c>
      <c r="I84" s="3">
        <v>1</v>
      </c>
      <c r="J84" s="1"/>
      <c r="K84" s="1"/>
      <c r="L8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EA56-A348-48C8-890D-A94351F8FFB4}">
  <dimension ref="A1:X84"/>
  <sheetViews>
    <sheetView topLeftCell="A20" zoomScale="70" zoomScaleNormal="70" workbookViewId="0">
      <selection activeCell="A52" sqref="A52"/>
    </sheetView>
  </sheetViews>
  <sheetFormatPr defaultRowHeight="15" x14ac:dyDescent="0.25"/>
  <cols>
    <col min="10" max="11" width="13.140625" bestFit="1" customWidth="1"/>
    <col min="12" max="12" width="14.42578125" bestFit="1" customWidth="1"/>
    <col min="13" max="13" width="11.140625" bestFit="1" customWidth="1"/>
    <col min="14" max="14" width="13.5703125" bestFit="1" customWidth="1"/>
    <col min="15" max="15" width="13.140625" bestFit="1" customWidth="1"/>
    <col min="16" max="16" width="13.5703125" bestFit="1" customWidth="1"/>
    <col min="17" max="17" width="14" bestFit="1" customWidth="1"/>
    <col min="18" max="18" width="14.42578125" bestFit="1" customWidth="1"/>
    <col min="20" max="20" width="10.28515625" bestFit="1" customWidth="1"/>
    <col min="21" max="21" width="8.140625" customWidth="1"/>
    <col min="22" max="22" width="5.5703125" customWidth="1"/>
    <col min="23" max="23" width="6" customWidth="1"/>
    <col min="24" max="24" width="3.85546875" bestFit="1" customWidth="1"/>
  </cols>
  <sheetData>
    <row r="1" spans="1:24" x14ac:dyDescent="0.25">
      <c r="A1" t="s">
        <v>27</v>
      </c>
      <c r="J1" s="1"/>
      <c r="K1" s="1"/>
      <c r="L1" s="1"/>
    </row>
    <row r="2" spans="1:24" x14ac:dyDescent="0.25">
      <c r="A2" s="13" t="s">
        <v>43</v>
      </c>
      <c r="B2" s="13" t="s">
        <v>44</v>
      </c>
      <c r="C2" s="13" t="s">
        <v>45</v>
      </c>
      <c r="D2" s="13" t="s">
        <v>46</v>
      </c>
      <c r="E2" s="13" t="s">
        <v>47</v>
      </c>
      <c r="F2" s="13" t="s">
        <v>48</v>
      </c>
      <c r="G2" s="13" t="s">
        <v>49</v>
      </c>
      <c r="H2" s="13" t="s">
        <v>50</v>
      </c>
      <c r="I2" s="13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51</v>
      </c>
      <c r="T2" s="14" t="s">
        <v>9</v>
      </c>
      <c r="U2" s="14" t="s">
        <v>55</v>
      </c>
      <c r="V2" s="14" t="s">
        <v>56</v>
      </c>
      <c r="W2" s="14" t="s">
        <v>57</v>
      </c>
      <c r="X2" s="14" t="s">
        <v>58</v>
      </c>
    </row>
    <row r="3" spans="1:24" x14ac:dyDescent="0.25">
      <c r="A3" s="8">
        <v>703</v>
      </c>
      <c r="B3" s="8">
        <v>0</v>
      </c>
      <c r="C3" s="8">
        <v>2248</v>
      </c>
      <c r="D3" s="8">
        <v>1514</v>
      </c>
      <c r="E3" s="8">
        <v>2726</v>
      </c>
      <c r="F3" s="8">
        <v>3887</v>
      </c>
      <c r="G3" s="8">
        <v>2590</v>
      </c>
      <c r="H3" s="8">
        <v>2716</v>
      </c>
      <c r="I3" s="8">
        <v>0</v>
      </c>
      <c r="J3" s="10">
        <f t="shared" ref="J3:Q18" si="0">SUMSQ(A3-A45)</f>
        <v>3013696</v>
      </c>
      <c r="K3" s="10">
        <f t="shared" si="0"/>
        <v>431649</v>
      </c>
      <c r="L3" s="10">
        <f t="shared" si="0"/>
        <v>1537600</v>
      </c>
      <c r="M3" s="8">
        <f t="shared" si="0"/>
        <v>388129</v>
      </c>
      <c r="N3" s="10">
        <f t="shared" si="0"/>
        <v>3694084</v>
      </c>
      <c r="O3" s="10">
        <f t="shared" si="0"/>
        <v>126025</v>
      </c>
      <c r="P3" s="10">
        <f t="shared" si="0"/>
        <v>398161</v>
      </c>
      <c r="Q3" s="10">
        <f t="shared" si="0"/>
        <v>1245456</v>
      </c>
      <c r="R3" s="10">
        <f>SUM(J3:Q3)</f>
        <v>10834800</v>
      </c>
      <c r="S3" s="10">
        <f>SQRT(R3)</f>
        <v>3291.6257381421724</v>
      </c>
      <c r="T3" s="8">
        <v>13</v>
      </c>
      <c r="U3" s="8" t="s">
        <v>59</v>
      </c>
      <c r="V3" s="8">
        <v>17</v>
      </c>
      <c r="W3" s="8">
        <v>18</v>
      </c>
      <c r="X3" s="8">
        <v>35</v>
      </c>
    </row>
    <row r="4" spans="1:24" x14ac:dyDescent="0.25">
      <c r="A4" s="8">
        <v>106</v>
      </c>
      <c r="B4" s="8">
        <v>935</v>
      </c>
      <c r="C4" s="8">
        <v>1375</v>
      </c>
      <c r="D4" s="8">
        <v>1302</v>
      </c>
      <c r="E4" s="8">
        <v>2413</v>
      </c>
      <c r="F4" s="8">
        <v>3164</v>
      </c>
      <c r="G4" s="8">
        <v>5373</v>
      </c>
      <c r="H4" s="8">
        <v>1716</v>
      </c>
      <c r="I4" s="8">
        <v>0</v>
      </c>
      <c r="J4" s="10">
        <f t="shared" si="0"/>
        <v>5442889</v>
      </c>
      <c r="K4" s="10">
        <f t="shared" si="0"/>
        <v>77284</v>
      </c>
      <c r="L4" s="10">
        <f t="shared" si="0"/>
        <v>134689</v>
      </c>
      <c r="M4" s="8">
        <f t="shared" si="0"/>
        <v>168921</v>
      </c>
      <c r="N4" s="10">
        <f t="shared" si="0"/>
        <v>2588881</v>
      </c>
      <c r="O4" s="10">
        <f t="shared" si="0"/>
        <v>135424</v>
      </c>
      <c r="P4" s="10">
        <f t="shared" si="0"/>
        <v>4631104</v>
      </c>
      <c r="Q4" s="10">
        <f t="shared" si="0"/>
        <v>4477456</v>
      </c>
      <c r="R4" s="10">
        <f t="shared" ref="R4:R42" si="1">SUM(J4:Q4)</f>
        <v>17656648</v>
      </c>
      <c r="S4" s="10">
        <f t="shared" ref="S4:S42" si="2">SQRT(R4)</f>
        <v>4201.9814373697563</v>
      </c>
      <c r="T4" s="8">
        <v>25</v>
      </c>
      <c r="U4" s="8" t="s">
        <v>59</v>
      </c>
      <c r="V4" s="8">
        <v>17</v>
      </c>
      <c r="W4" s="8">
        <v>18</v>
      </c>
      <c r="X4" s="8">
        <v>35</v>
      </c>
    </row>
    <row r="5" spans="1:24" x14ac:dyDescent="0.25">
      <c r="A5" s="8">
        <v>594</v>
      </c>
      <c r="B5" s="8">
        <v>681</v>
      </c>
      <c r="C5" s="8">
        <v>797</v>
      </c>
      <c r="D5" s="8">
        <v>1076</v>
      </c>
      <c r="E5" s="8">
        <v>2530</v>
      </c>
      <c r="F5" s="8">
        <v>4731</v>
      </c>
      <c r="G5" s="8">
        <v>5586</v>
      </c>
      <c r="H5" s="8">
        <v>389</v>
      </c>
      <c r="I5" s="8">
        <v>0</v>
      </c>
      <c r="J5" s="10">
        <f t="shared" si="0"/>
        <v>3404025</v>
      </c>
      <c r="K5" s="10">
        <f t="shared" si="0"/>
        <v>576</v>
      </c>
      <c r="L5" s="10">
        <f t="shared" si="0"/>
        <v>44521</v>
      </c>
      <c r="M5" s="8">
        <f t="shared" si="0"/>
        <v>34225</v>
      </c>
      <c r="N5" s="10">
        <f t="shared" si="0"/>
        <v>2979076</v>
      </c>
      <c r="O5" s="10">
        <f t="shared" si="0"/>
        <v>1437601</v>
      </c>
      <c r="P5" s="10">
        <f t="shared" si="0"/>
        <v>5593225</v>
      </c>
      <c r="Q5" s="10">
        <f t="shared" si="0"/>
        <v>11854249</v>
      </c>
      <c r="R5" s="10">
        <f t="shared" si="1"/>
        <v>25347498</v>
      </c>
      <c r="S5" s="10">
        <f t="shared" si="2"/>
        <v>5034.6298771607826</v>
      </c>
      <c r="T5" s="8">
        <v>34</v>
      </c>
      <c r="U5" s="8" t="s">
        <v>59</v>
      </c>
      <c r="V5" s="8">
        <v>17</v>
      </c>
      <c r="W5" s="8">
        <v>18</v>
      </c>
      <c r="X5" s="8">
        <v>35</v>
      </c>
    </row>
    <row r="6" spans="1:24" x14ac:dyDescent="0.25">
      <c r="A6" s="8">
        <v>591</v>
      </c>
      <c r="B6" s="8">
        <v>898</v>
      </c>
      <c r="C6" s="8">
        <v>301</v>
      </c>
      <c r="D6" s="8">
        <v>1028</v>
      </c>
      <c r="E6" s="8">
        <v>1764</v>
      </c>
      <c r="F6" s="8">
        <v>3884</v>
      </c>
      <c r="G6" s="8">
        <v>4837</v>
      </c>
      <c r="H6" s="8">
        <v>3081</v>
      </c>
      <c r="I6" s="8">
        <v>0</v>
      </c>
      <c r="J6" s="10">
        <f t="shared" si="0"/>
        <v>3415104</v>
      </c>
      <c r="K6" s="10">
        <f t="shared" si="0"/>
        <v>58081</v>
      </c>
      <c r="L6" s="10">
        <f t="shared" si="0"/>
        <v>499849</v>
      </c>
      <c r="M6" s="8">
        <f t="shared" si="0"/>
        <v>18769</v>
      </c>
      <c r="N6" s="10">
        <f t="shared" si="0"/>
        <v>921600</v>
      </c>
      <c r="O6" s="10">
        <f t="shared" si="0"/>
        <v>123904</v>
      </c>
      <c r="P6" s="10">
        <f t="shared" si="0"/>
        <v>2611456</v>
      </c>
      <c r="Q6" s="10">
        <f t="shared" si="0"/>
        <v>564001</v>
      </c>
      <c r="R6" s="10">
        <f t="shared" si="1"/>
        <v>8212764</v>
      </c>
      <c r="S6" s="10">
        <f t="shared" si="2"/>
        <v>2865.792037116441</v>
      </c>
      <c r="T6" s="8">
        <v>7</v>
      </c>
      <c r="U6" s="8" t="s">
        <v>59</v>
      </c>
      <c r="V6" s="8">
        <v>17</v>
      </c>
      <c r="W6" s="8">
        <v>18</v>
      </c>
      <c r="X6" s="8">
        <v>35</v>
      </c>
    </row>
    <row r="7" spans="1:24" x14ac:dyDescent="0.25">
      <c r="A7" s="8">
        <v>4419</v>
      </c>
      <c r="B7" s="8">
        <v>1819</v>
      </c>
      <c r="C7" s="8">
        <v>1275</v>
      </c>
      <c r="D7" s="8">
        <v>770</v>
      </c>
      <c r="E7" s="8">
        <v>1673</v>
      </c>
      <c r="F7" s="8">
        <v>2513</v>
      </c>
      <c r="G7" s="8">
        <v>1782</v>
      </c>
      <c r="H7" s="8">
        <v>2133</v>
      </c>
      <c r="I7" s="8">
        <v>0</v>
      </c>
      <c r="J7" s="10">
        <f t="shared" si="0"/>
        <v>3920400</v>
      </c>
      <c r="K7" s="10">
        <f t="shared" si="0"/>
        <v>1350244</v>
      </c>
      <c r="L7" s="10">
        <f t="shared" si="0"/>
        <v>71289</v>
      </c>
      <c r="M7" s="8">
        <f t="shared" si="0"/>
        <v>14641</v>
      </c>
      <c r="N7" s="10">
        <f t="shared" si="0"/>
        <v>755161</v>
      </c>
      <c r="O7" s="10">
        <f t="shared" si="0"/>
        <v>1038361</v>
      </c>
      <c r="P7" s="10">
        <f t="shared" si="0"/>
        <v>2070721</v>
      </c>
      <c r="Q7" s="10">
        <f t="shared" si="0"/>
        <v>2886601</v>
      </c>
      <c r="R7" s="10">
        <f t="shared" si="1"/>
        <v>12107418</v>
      </c>
      <c r="S7" s="10">
        <f t="shared" si="2"/>
        <v>3479.5715253461885</v>
      </c>
      <c r="T7" s="8">
        <v>15</v>
      </c>
      <c r="U7" s="8" t="s">
        <v>59</v>
      </c>
      <c r="V7" s="8">
        <v>17</v>
      </c>
      <c r="W7" s="8">
        <v>18</v>
      </c>
      <c r="X7" s="8">
        <v>35</v>
      </c>
    </row>
    <row r="8" spans="1:24" x14ac:dyDescent="0.25">
      <c r="A8" s="8">
        <v>1844</v>
      </c>
      <c r="B8" s="8">
        <v>573</v>
      </c>
      <c r="C8" s="8">
        <v>1831</v>
      </c>
      <c r="D8" s="8">
        <v>1430</v>
      </c>
      <c r="E8" s="8">
        <v>1999</v>
      </c>
      <c r="F8" s="8">
        <v>1652</v>
      </c>
      <c r="G8" s="8">
        <v>3253</v>
      </c>
      <c r="H8" s="8">
        <v>3802</v>
      </c>
      <c r="I8" s="8">
        <v>0</v>
      </c>
      <c r="J8" s="10">
        <f t="shared" si="0"/>
        <v>354025</v>
      </c>
      <c r="K8" s="10">
        <f t="shared" si="0"/>
        <v>7056</v>
      </c>
      <c r="L8" s="10">
        <f t="shared" si="0"/>
        <v>677329</v>
      </c>
      <c r="M8" s="8">
        <f t="shared" si="0"/>
        <v>290521</v>
      </c>
      <c r="N8" s="10">
        <f t="shared" si="0"/>
        <v>1428025</v>
      </c>
      <c r="O8" s="10">
        <f t="shared" si="0"/>
        <v>3534400</v>
      </c>
      <c r="P8" s="10">
        <f t="shared" si="0"/>
        <v>1024</v>
      </c>
      <c r="Q8" s="10">
        <f t="shared" si="0"/>
        <v>900</v>
      </c>
      <c r="R8" s="10">
        <f t="shared" si="1"/>
        <v>6293280</v>
      </c>
      <c r="S8" s="10">
        <f t="shared" si="2"/>
        <v>2508.6410663943138</v>
      </c>
      <c r="T8" s="8">
        <v>2</v>
      </c>
      <c r="U8" s="8" t="s">
        <v>59</v>
      </c>
      <c r="V8" s="8">
        <v>17</v>
      </c>
      <c r="W8" s="8">
        <v>18</v>
      </c>
      <c r="X8" s="8">
        <v>35</v>
      </c>
    </row>
    <row r="9" spans="1:24" x14ac:dyDescent="0.25">
      <c r="A9" s="8">
        <v>1606</v>
      </c>
      <c r="B9" s="8">
        <v>1636</v>
      </c>
      <c r="C9" s="8">
        <v>1748</v>
      </c>
      <c r="D9" s="8">
        <v>1997</v>
      </c>
      <c r="E9" s="8">
        <v>2704</v>
      </c>
      <c r="F9" s="8">
        <v>1568</v>
      </c>
      <c r="G9" s="8">
        <v>2669</v>
      </c>
      <c r="H9" s="8">
        <v>2456</v>
      </c>
      <c r="I9" s="8">
        <v>0</v>
      </c>
      <c r="J9" s="10">
        <f t="shared" si="0"/>
        <v>693889</v>
      </c>
      <c r="K9" s="10">
        <f t="shared" si="0"/>
        <v>958441</v>
      </c>
      <c r="L9" s="10">
        <f t="shared" si="0"/>
        <v>547600</v>
      </c>
      <c r="M9" s="8">
        <f t="shared" si="0"/>
        <v>1223236</v>
      </c>
      <c r="N9" s="10">
        <f t="shared" si="0"/>
        <v>3610000</v>
      </c>
      <c r="O9" s="10">
        <f t="shared" si="0"/>
        <v>3857296</v>
      </c>
      <c r="P9" s="10">
        <f t="shared" si="0"/>
        <v>304704</v>
      </c>
      <c r="Q9" s="10">
        <f t="shared" si="0"/>
        <v>1893376</v>
      </c>
      <c r="R9" s="10">
        <f t="shared" si="1"/>
        <v>13088542</v>
      </c>
      <c r="S9" s="10">
        <f t="shared" si="2"/>
        <v>3617.809005461731</v>
      </c>
      <c r="T9" s="8">
        <v>18</v>
      </c>
      <c r="U9" s="8" t="s">
        <v>59</v>
      </c>
      <c r="V9" s="8">
        <v>17</v>
      </c>
      <c r="W9" s="8">
        <v>18</v>
      </c>
      <c r="X9" s="8">
        <v>35</v>
      </c>
    </row>
    <row r="10" spans="1:24" x14ac:dyDescent="0.25">
      <c r="A10" s="2">
        <v>821</v>
      </c>
      <c r="B10" s="2">
        <v>1215</v>
      </c>
      <c r="C10" s="2">
        <v>586</v>
      </c>
      <c r="D10" s="2">
        <v>1332</v>
      </c>
      <c r="E10" s="2">
        <v>4814</v>
      </c>
      <c r="F10" s="2">
        <v>3932</v>
      </c>
      <c r="G10" s="2">
        <v>2967</v>
      </c>
      <c r="H10" s="2">
        <v>717</v>
      </c>
      <c r="I10" s="2">
        <v>0</v>
      </c>
      <c r="J10" s="7">
        <f t="shared" si="0"/>
        <v>2617924</v>
      </c>
      <c r="K10" s="7">
        <f t="shared" si="0"/>
        <v>311364</v>
      </c>
      <c r="L10" s="7">
        <f t="shared" si="0"/>
        <v>178084</v>
      </c>
      <c r="M10" s="2">
        <f t="shared" si="0"/>
        <v>194481</v>
      </c>
      <c r="N10" s="7">
        <f t="shared" si="0"/>
        <v>16080100</v>
      </c>
      <c r="O10" s="7">
        <f t="shared" si="0"/>
        <v>160000</v>
      </c>
      <c r="P10" s="7">
        <f t="shared" si="0"/>
        <v>64516</v>
      </c>
      <c r="Q10" s="7">
        <f t="shared" si="0"/>
        <v>9703225</v>
      </c>
      <c r="R10" s="7">
        <f t="shared" si="1"/>
        <v>29309694</v>
      </c>
      <c r="S10" s="7">
        <f t="shared" si="2"/>
        <v>5413.8428126424214</v>
      </c>
      <c r="T10" s="2">
        <v>38</v>
      </c>
      <c r="U10" s="2" t="s">
        <v>60</v>
      </c>
      <c r="V10" s="2">
        <v>17</v>
      </c>
      <c r="W10" s="2">
        <v>18</v>
      </c>
      <c r="X10" s="2">
        <v>35</v>
      </c>
    </row>
    <row r="11" spans="1:24" x14ac:dyDescent="0.25">
      <c r="A11" s="8">
        <v>303</v>
      </c>
      <c r="B11" s="8">
        <v>487</v>
      </c>
      <c r="C11" s="8">
        <v>651</v>
      </c>
      <c r="D11" s="8">
        <v>1344</v>
      </c>
      <c r="E11" s="8">
        <v>2190</v>
      </c>
      <c r="F11" s="8">
        <v>3510</v>
      </c>
      <c r="G11" s="8">
        <v>4600</v>
      </c>
      <c r="H11" s="8">
        <v>3299</v>
      </c>
      <c r="I11" s="8">
        <v>0</v>
      </c>
      <c r="J11" s="10">
        <f t="shared" si="0"/>
        <v>4562496</v>
      </c>
      <c r="K11" s="10">
        <f t="shared" si="0"/>
        <v>28900</v>
      </c>
      <c r="L11" s="10">
        <f t="shared" si="0"/>
        <v>127449</v>
      </c>
      <c r="M11" s="8">
        <f t="shared" si="0"/>
        <v>205209</v>
      </c>
      <c r="N11" s="10">
        <f t="shared" si="0"/>
        <v>1920996</v>
      </c>
      <c r="O11" s="10">
        <f t="shared" si="0"/>
        <v>484</v>
      </c>
      <c r="P11" s="10">
        <f t="shared" si="0"/>
        <v>1901641</v>
      </c>
      <c r="Q11" s="10">
        <f t="shared" si="0"/>
        <v>284089</v>
      </c>
      <c r="R11" s="10">
        <f t="shared" si="1"/>
        <v>9031264</v>
      </c>
      <c r="S11" s="10">
        <f t="shared" si="2"/>
        <v>3005.2061493348506</v>
      </c>
      <c r="T11" s="8">
        <v>9</v>
      </c>
      <c r="U11" s="8" t="s">
        <v>59</v>
      </c>
      <c r="V11" s="8">
        <v>17</v>
      </c>
      <c r="W11" s="8">
        <v>18</v>
      </c>
      <c r="X11" s="8">
        <v>35</v>
      </c>
    </row>
    <row r="12" spans="1:24" x14ac:dyDescent="0.25">
      <c r="A12" s="8">
        <v>1091</v>
      </c>
      <c r="B12" s="8">
        <v>501</v>
      </c>
      <c r="C12" s="8">
        <v>720</v>
      </c>
      <c r="D12" s="8">
        <v>1224</v>
      </c>
      <c r="E12" s="8">
        <v>1758</v>
      </c>
      <c r="F12" s="8">
        <v>5041</v>
      </c>
      <c r="G12" s="8">
        <v>3755</v>
      </c>
      <c r="H12" s="8">
        <v>2294</v>
      </c>
      <c r="I12" s="8">
        <v>0</v>
      </c>
      <c r="J12" s="10">
        <f t="shared" si="0"/>
        <v>1817104</v>
      </c>
      <c r="K12" s="10">
        <f t="shared" si="0"/>
        <v>24336</v>
      </c>
      <c r="L12" s="10">
        <f t="shared" si="0"/>
        <v>82944</v>
      </c>
      <c r="M12" s="8">
        <f t="shared" si="0"/>
        <v>110889</v>
      </c>
      <c r="N12" s="10">
        <f t="shared" si="0"/>
        <v>910116</v>
      </c>
      <c r="O12" s="10">
        <f t="shared" si="0"/>
        <v>2277081</v>
      </c>
      <c r="P12" s="10">
        <f t="shared" si="0"/>
        <v>285156</v>
      </c>
      <c r="Q12" s="10">
        <f t="shared" si="0"/>
        <v>2365444</v>
      </c>
      <c r="R12" s="10">
        <f t="shared" si="1"/>
        <v>7873070</v>
      </c>
      <c r="S12" s="10">
        <f t="shared" si="2"/>
        <v>2805.899142877377</v>
      </c>
      <c r="T12" s="8">
        <v>6</v>
      </c>
      <c r="U12" s="8" t="s">
        <v>59</v>
      </c>
      <c r="V12" s="8">
        <v>17</v>
      </c>
      <c r="W12" s="8">
        <v>18</v>
      </c>
      <c r="X12" s="8">
        <v>35</v>
      </c>
    </row>
    <row r="13" spans="1:24" x14ac:dyDescent="0.25">
      <c r="A13" s="8">
        <v>373</v>
      </c>
      <c r="B13" s="8">
        <v>381</v>
      </c>
      <c r="C13" s="8">
        <v>222</v>
      </c>
      <c r="D13" s="8">
        <v>342</v>
      </c>
      <c r="E13" s="8">
        <v>3097</v>
      </c>
      <c r="F13" s="8">
        <v>1370</v>
      </c>
      <c r="G13" s="8">
        <v>5365</v>
      </c>
      <c r="H13" s="8">
        <v>5234</v>
      </c>
      <c r="I13" s="8">
        <v>0</v>
      </c>
      <c r="J13" s="10">
        <f t="shared" si="0"/>
        <v>4268356</v>
      </c>
      <c r="K13" s="10">
        <f t="shared" si="0"/>
        <v>76176</v>
      </c>
      <c r="L13" s="10">
        <f t="shared" si="0"/>
        <v>617796</v>
      </c>
      <c r="M13" s="8">
        <f t="shared" si="0"/>
        <v>301401</v>
      </c>
      <c r="N13" s="10">
        <f t="shared" si="0"/>
        <v>5257849</v>
      </c>
      <c r="O13" s="10">
        <f t="shared" si="0"/>
        <v>4674244</v>
      </c>
      <c r="P13" s="10">
        <f t="shared" si="0"/>
        <v>4596736</v>
      </c>
      <c r="Q13" s="10">
        <f t="shared" si="0"/>
        <v>1965604</v>
      </c>
      <c r="R13" s="10">
        <f t="shared" si="1"/>
        <v>21758162</v>
      </c>
      <c r="S13" s="10">
        <f t="shared" si="2"/>
        <v>4664.5645027161963</v>
      </c>
      <c r="T13" s="8">
        <v>32</v>
      </c>
      <c r="U13" s="8" t="s">
        <v>59</v>
      </c>
      <c r="V13" s="8">
        <v>17</v>
      </c>
      <c r="W13" s="8">
        <v>18</v>
      </c>
      <c r="X13" s="8">
        <v>35</v>
      </c>
    </row>
    <row r="14" spans="1:24" x14ac:dyDescent="0.25">
      <c r="A14" s="8">
        <v>1199</v>
      </c>
      <c r="B14" s="8">
        <v>958</v>
      </c>
      <c r="C14" s="8">
        <v>1513</v>
      </c>
      <c r="D14" s="8">
        <v>1207</v>
      </c>
      <c r="E14" s="8">
        <v>3857</v>
      </c>
      <c r="F14" s="8">
        <v>1940</v>
      </c>
      <c r="G14" s="8">
        <v>4399</v>
      </c>
      <c r="H14" s="8">
        <v>1311</v>
      </c>
      <c r="I14" s="8">
        <v>0</v>
      </c>
      <c r="J14" s="10">
        <f t="shared" si="0"/>
        <v>1537600</v>
      </c>
      <c r="K14" s="10">
        <f t="shared" si="0"/>
        <v>90601</v>
      </c>
      <c r="L14" s="10">
        <f t="shared" si="0"/>
        <v>255025</v>
      </c>
      <c r="M14" s="8">
        <f t="shared" si="0"/>
        <v>99856</v>
      </c>
      <c r="N14" s="10">
        <f t="shared" si="0"/>
        <v>9320809</v>
      </c>
      <c r="O14" s="10">
        <f t="shared" si="0"/>
        <v>2534464</v>
      </c>
      <c r="P14" s="10">
        <f t="shared" si="0"/>
        <v>1387684</v>
      </c>
      <c r="Q14" s="10">
        <f t="shared" si="0"/>
        <v>6355441</v>
      </c>
      <c r="R14" s="10">
        <f t="shared" si="1"/>
        <v>21581480</v>
      </c>
      <c r="S14" s="10">
        <f t="shared" si="2"/>
        <v>4645.5871534177468</v>
      </c>
      <c r="T14" s="8">
        <v>31</v>
      </c>
      <c r="U14" s="8" t="s">
        <v>59</v>
      </c>
      <c r="V14" s="8">
        <v>17</v>
      </c>
      <c r="W14" s="8">
        <v>18</v>
      </c>
      <c r="X14" s="8">
        <v>35</v>
      </c>
    </row>
    <row r="15" spans="1:24" x14ac:dyDescent="0.25">
      <c r="A15" s="8">
        <v>960</v>
      </c>
      <c r="B15" s="8">
        <v>506</v>
      </c>
      <c r="C15" s="8">
        <v>1189</v>
      </c>
      <c r="D15" s="8">
        <v>973</v>
      </c>
      <c r="E15" s="8">
        <v>2887</v>
      </c>
      <c r="F15" s="8">
        <v>1843</v>
      </c>
      <c r="G15" s="8">
        <v>4933</v>
      </c>
      <c r="H15" s="8">
        <v>3093</v>
      </c>
      <c r="I15" s="8">
        <v>0</v>
      </c>
      <c r="J15" s="10">
        <f t="shared" si="0"/>
        <v>2187441</v>
      </c>
      <c r="K15" s="10">
        <f t="shared" si="0"/>
        <v>22801</v>
      </c>
      <c r="L15" s="10">
        <f t="shared" si="0"/>
        <v>32761</v>
      </c>
      <c r="M15" s="8">
        <f t="shared" si="0"/>
        <v>6724</v>
      </c>
      <c r="N15" s="10">
        <f t="shared" si="0"/>
        <v>4338889</v>
      </c>
      <c r="O15" s="10">
        <f t="shared" si="0"/>
        <v>2852721</v>
      </c>
      <c r="P15" s="10">
        <f t="shared" si="0"/>
        <v>2930944</v>
      </c>
      <c r="Q15" s="10">
        <f t="shared" si="0"/>
        <v>546121</v>
      </c>
      <c r="R15" s="10">
        <f t="shared" si="1"/>
        <v>12918402</v>
      </c>
      <c r="S15" s="10">
        <f t="shared" si="2"/>
        <v>3594.2178565023019</v>
      </c>
      <c r="T15" s="8">
        <v>16</v>
      </c>
      <c r="U15" s="8" t="s">
        <v>59</v>
      </c>
      <c r="V15" s="8">
        <v>17</v>
      </c>
      <c r="W15" s="8">
        <v>18</v>
      </c>
      <c r="X15" s="8">
        <v>35</v>
      </c>
    </row>
    <row r="16" spans="1:24" x14ac:dyDescent="0.25">
      <c r="A16" s="2">
        <v>658</v>
      </c>
      <c r="B16" s="2">
        <v>2168</v>
      </c>
      <c r="C16" s="2">
        <v>6781</v>
      </c>
      <c r="D16" s="2">
        <v>3831</v>
      </c>
      <c r="E16" s="2">
        <v>2650</v>
      </c>
      <c r="F16" s="2">
        <v>198</v>
      </c>
      <c r="G16" s="2">
        <v>0</v>
      </c>
      <c r="H16" s="2">
        <v>98</v>
      </c>
      <c r="I16" s="2">
        <v>0</v>
      </c>
      <c r="J16" s="7">
        <f t="shared" si="0"/>
        <v>3171961</v>
      </c>
      <c r="K16" s="7">
        <f t="shared" si="0"/>
        <v>2283121</v>
      </c>
      <c r="L16" s="7">
        <f t="shared" si="0"/>
        <v>33327529</v>
      </c>
      <c r="M16" s="2">
        <f t="shared" si="0"/>
        <v>8643600</v>
      </c>
      <c r="N16" s="7">
        <f t="shared" si="0"/>
        <v>3407716</v>
      </c>
      <c r="O16" s="7">
        <f t="shared" si="0"/>
        <v>11115556</v>
      </c>
      <c r="P16" s="7">
        <f t="shared" si="0"/>
        <v>10374841</v>
      </c>
      <c r="Q16" s="7">
        <f t="shared" si="0"/>
        <v>13942756</v>
      </c>
      <c r="R16" s="7">
        <f t="shared" si="1"/>
        <v>86267080</v>
      </c>
      <c r="S16" s="7">
        <f t="shared" si="2"/>
        <v>9288.007321271878</v>
      </c>
      <c r="T16" s="2">
        <v>40</v>
      </c>
      <c r="U16" s="2" t="s">
        <v>60</v>
      </c>
      <c r="V16" s="2">
        <v>17</v>
      </c>
      <c r="W16" s="2">
        <v>18</v>
      </c>
      <c r="X16" s="2">
        <v>35</v>
      </c>
    </row>
    <row r="17" spans="1:24" x14ac:dyDescent="0.25">
      <c r="A17" s="2">
        <v>147</v>
      </c>
      <c r="B17" s="8">
        <v>68</v>
      </c>
      <c r="C17" s="8">
        <v>140</v>
      </c>
      <c r="D17" s="8">
        <v>445</v>
      </c>
      <c r="E17" s="8">
        <v>1700</v>
      </c>
      <c r="F17" s="8">
        <v>1859</v>
      </c>
      <c r="G17" s="8">
        <v>7130</v>
      </c>
      <c r="H17" s="8">
        <v>4895</v>
      </c>
      <c r="I17" s="8">
        <v>0</v>
      </c>
      <c r="J17" s="10">
        <f t="shared" si="0"/>
        <v>5253264</v>
      </c>
      <c r="K17" s="10">
        <f t="shared" si="0"/>
        <v>346921</v>
      </c>
      <c r="L17" s="10">
        <f t="shared" si="0"/>
        <v>753424</v>
      </c>
      <c r="M17" s="8">
        <f t="shared" si="0"/>
        <v>198916</v>
      </c>
      <c r="N17" s="10">
        <f t="shared" si="0"/>
        <v>802816</v>
      </c>
      <c r="O17" s="10">
        <f t="shared" si="0"/>
        <v>2798929</v>
      </c>
      <c r="P17" s="10">
        <f t="shared" si="0"/>
        <v>15280281</v>
      </c>
      <c r="Q17" s="10">
        <f t="shared" si="0"/>
        <v>1129969</v>
      </c>
      <c r="R17" s="10">
        <f t="shared" si="1"/>
        <v>26564520</v>
      </c>
      <c r="S17" s="10">
        <f t="shared" si="2"/>
        <v>5154.0779970815347</v>
      </c>
      <c r="T17" s="8">
        <v>35</v>
      </c>
      <c r="U17" s="8" t="s">
        <v>59</v>
      </c>
      <c r="V17" s="8">
        <v>17</v>
      </c>
      <c r="W17" s="8">
        <v>18</v>
      </c>
      <c r="X17" s="8">
        <v>35</v>
      </c>
    </row>
    <row r="18" spans="1:24" x14ac:dyDescent="0.25">
      <c r="A18" s="2">
        <v>637</v>
      </c>
      <c r="B18" s="8">
        <v>366</v>
      </c>
      <c r="C18" s="8">
        <v>2292</v>
      </c>
      <c r="D18" s="8">
        <v>1980</v>
      </c>
      <c r="E18" s="8">
        <v>2936</v>
      </c>
      <c r="F18" s="8">
        <v>3490</v>
      </c>
      <c r="G18" s="8">
        <v>2586</v>
      </c>
      <c r="H18" s="8">
        <v>2097</v>
      </c>
      <c r="I18" s="8">
        <v>0</v>
      </c>
      <c r="J18" s="10">
        <f t="shared" si="0"/>
        <v>3247204</v>
      </c>
      <c r="K18" s="10">
        <f t="shared" si="0"/>
        <v>84681</v>
      </c>
      <c r="L18" s="10">
        <f t="shared" si="0"/>
        <v>1648656</v>
      </c>
      <c r="M18" s="8">
        <f t="shared" si="0"/>
        <v>1185921</v>
      </c>
      <c r="N18" s="10">
        <f t="shared" si="0"/>
        <v>4545424</v>
      </c>
      <c r="O18" s="10">
        <f t="shared" si="0"/>
        <v>1764</v>
      </c>
      <c r="P18" s="10">
        <f t="shared" si="0"/>
        <v>403225</v>
      </c>
      <c r="Q18" s="10">
        <f t="shared" si="0"/>
        <v>3010225</v>
      </c>
      <c r="R18" s="10">
        <f t="shared" si="1"/>
        <v>14127100</v>
      </c>
      <c r="S18" s="10">
        <f t="shared" si="2"/>
        <v>3758.6034640541693</v>
      </c>
      <c r="T18" s="8">
        <v>21</v>
      </c>
      <c r="U18" s="8" t="s">
        <v>59</v>
      </c>
      <c r="V18" s="8">
        <v>17</v>
      </c>
      <c r="W18" s="8">
        <v>18</v>
      </c>
      <c r="X18" s="8">
        <v>35</v>
      </c>
    </row>
    <row r="19" spans="1:24" x14ac:dyDescent="0.25">
      <c r="A19" s="2">
        <v>2204</v>
      </c>
      <c r="B19" s="8">
        <v>3453</v>
      </c>
      <c r="C19" s="8">
        <v>1041</v>
      </c>
      <c r="D19" s="8">
        <v>1665</v>
      </c>
      <c r="E19" s="8">
        <v>2092</v>
      </c>
      <c r="F19" s="8">
        <v>856</v>
      </c>
      <c r="G19" s="8">
        <v>2841</v>
      </c>
      <c r="H19" s="8">
        <v>2232</v>
      </c>
      <c r="I19" s="8">
        <v>0</v>
      </c>
      <c r="J19" s="10">
        <f t="shared" ref="J19:Q42" si="3">SUMSQ(A19-A61)</f>
        <v>55225</v>
      </c>
      <c r="K19" s="10">
        <f t="shared" si="3"/>
        <v>7817616</v>
      </c>
      <c r="L19" s="10">
        <f t="shared" si="3"/>
        <v>1089</v>
      </c>
      <c r="M19" s="8">
        <f t="shared" si="3"/>
        <v>599076</v>
      </c>
      <c r="N19" s="10">
        <f t="shared" si="3"/>
        <v>1658944</v>
      </c>
      <c r="O19" s="10">
        <f t="shared" si="3"/>
        <v>7160976</v>
      </c>
      <c r="P19" s="10">
        <f t="shared" si="3"/>
        <v>144400</v>
      </c>
      <c r="Q19" s="10">
        <f t="shared" si="3"/>
        <v>2560000</v>
      </c>
      <c r="R19" s="10">
        <f t="shared" si="1"/>
        <v>19997326</v>
      </c>
      <c r="S19" s="10">
        <f t="shared" si="2"/>
        <v>4471.8369827175047</v>
      </c>
      <c r="T19" s="8">
        <v>29</v>
      </c>
      <c r="U19" s="8" t="s">
        <v>59</v>
      </c>
      <c r="V19" s="8">
        <v>17</v>
      </c>
      <c r="W19" s="8">
        <v>18</v>
      </c>
      <c r="X19" s="8">
        <v>35</v>
      </c>
    </row>
    <row r="20" spans="1:24" x14ac:dyDescent="0.25">
      <c r="A20" s="2">
        <v>1860</v>
      </c>
      <c r="B20" s="2">
        <v>2170</v>
      </c>
      <c r="C20" s="2">
        <v>3004</v>
      </c>
      <c r="D20" s="2">
        <v>4284</v>
      </c>
      <c r="E20" s="2">
        <v>3436</v>
      </c>
      <c r="F20" s="2">
        <v>1416</v>
      </c>
      <c r="G20" s="2">
        <v>121</v>
      </c>
      <c r="H20" s="2">
        <v>93</v>
      </c>
      <c r="I20" s="2">
        <v>0</v>
      </c>
      <c r="J20" s="7">
        <f t="shared" si="3"/>
        <v>335241</v>
      </c>
      <c r="K20" s="7">
        <f t="shared" si="3"/>
        <v>2289169</v>
      </c>
      <c r="L20" s="7">
        <f t="shared" si="3"/>
        <v>3984016</v>
      </c>
      <c r="M20" s="2">
        <f t="shared" si="3"/>
        <v>11512449</v>
      </c>
      <c r="N20" s="7">
        <f t="shared" si="3"/>
        <v>6927424</v>
      </c>
      <c r="O20" s="7">
        <f t="shared" si="3"/>
        <v>4477456</v>
      </c>
      <c r="P20" s="7">
        <f t="shared" si="3"/>
        <v>9610000</v>
      </c>
      <c r="Q20" s="7">
        <f t="shared" si="3"/>
        <v>13980121</v>
      </c>
      <c r="R20" s="7">
        <f t="shared" si="1"/>
        <v>53115876</v>
      </c>
      <c r="S20" s="7">
        <f t="shared" si="2"/>
        <v>7288.0639404439917</v>
      </c>
      <c r="T20" s="2">
        <v>39</v>
      </c>
      <c r="U20" s="2" t="s">
        <v>60</v>
      </c>
      <c r="V20" s="2">
        <v>17</v>
      </c>
      <c r="W20" s="2">
        <v>18</v>
      </c>
      <c r="X20" s="2">
        <v>35</v>
      </c>
    </row>
    <row r="21" spans="1:24" x14ac:dyDescent="0.25">
      <c r="A21" s="8">
        <v>211</v>
      </c>
      <c r="B21" s="8">
        <v>728</v>
      </c>
      <c r="C21" s="8">
        <v>505</v>
      </c>
      <c r="D21" s="8">
        <v>1766</v>
      </c>
      <c r="E21" s="8">
        <v>2875</v>
      </c>
      <c r="F21" s="8">
        <v>2281</v>
      </c>
      <c r="G21" s="8">
        <v>4327</v>
      </c>
      <c r="H21" s="8">
        <v>3691</v>
      </c>
      <c r="I21" s="8">
        <v>0</v>
      </c>
      <c r="J21" s="10">
        <f t="shared" si="3"/>
        <v>4963984</v>
      </c>
      <c r="K21" s="10">
        <f t="shared" si="3"/>
        <v>5041</v>
      </c>
      <c r="L21" s="10">
        <f t="shared" si="3"/>
        <v>253009</v>
      </c>
      <c r="M21" s="8">
        <f t="shared" si="3"/>
        <v>765625</v>
      </c>
      <c r="N21" s="10">
        <f t="shared" si="3"/>
        <v>4289041</v>
      </c>
      <c r="O21" s="10">
        <f t="shared" si="3"/>
        <v>1565001</v>
      </c>
      <c r="P21" s="10">
        <f t="shared" si="3"/>
        <v>1223236</v>
      </c>
      <c r="Q21" s="10">
        <f t="shared" si="3"/>
        <v>19881</v>
      </c>
      <c r="R21" s="10">
        <f t="shared" si="1"/>
        <v>13084818</v>
      </c>
      <c r="S21" s="10">
        <f t="shared" si="2"/>
        <v>3617.2942927000008</v>
      </c>
      <c r="T21" s="8">
        <v>17</v>
      </c>
      <c r="U21" s="8" t="s">
        <v>59</v>
      </c>
      <c r="V21" s="8">
        <v>17</v>
      </c>
      <c r="W21" s="8">
        <v>18</v>
      </c>
      <c r="X21" s="8">
        <v>35</v>
      </c>
    </row>
    <row r="22" spans="1:24" x14ac:dyDescent="0.25">
      <c r="A22" s="8">
        <v>762</v>
      </c>
      <c r="B22" s="8">
        <v>532</v>
      </c>
      <c r="C22" s="8">
        <v>445</v>
      </c>
      <c r="D22" s="8">
        <v>857</v>
      </c>
      <c r="E22" s="8">
        <v>2662</v>
      </c>
      <c r="F22" s="8">
        <v>3794</v>
      </c>
      <c r="G22" s="8">
        <v>4770</v>
      </c>
      <c r="H22" s="8">
        <v>2562</v>
      </c>
      <c r="I22" s="8">
        <v>0</v>
      </c>
      <c r="J22" s="10">
        <f t="shared" si="3"/>
        <v>2812329</v>
      </c>
      <c r="K22" s="10">
        <f t="shared" si="3"/>
        <v>15625</v>
      </c>
      <c r="L22" s="10">
        <f t="shared" si="3"/>
        <v>316969</v>
      </c>
      <c r="M22" s="8">
        <f t="shared" si="3"/>
        <v>1156</v>
      </c>
      <c r="N22" s="10">
        <f t="shared" si="3"/>
        <v>3452164</v>
      </c>
      <c r="O22" s="10">
        <f t="shared" si="3"/>
        <v>68644</v>
      </c>
      <c r="P22" s="10">
        <f t="shared" si="3"/>
        <v>2399401</v>
      </c>
      <c r="Q22" s="10">
        <f t="shared" si="3"/>
        <v>1612900</v>
      </c>
      <c r="R22" s="10">
        <f t="shared" si="1"/>
        <v>10679188</v>
      </c>
      <c r="S22" s="10">
        <f t="shared" si="2"/>
        <v>3267.9026913297157</v>
      </c>
      <c r="T22" s="8">
        <v>12</v>
      </c>
      <c r="U22" s="8" t="s">
        <v>59</v>
      </c>
      <c r="V22" s="8">
        <v>17</v>
      </c>
      <c r="W22" s="8">
        <v>18</v>
      </c>
      <c r="X22" s="8">
        <v>35</v>
      </c>
    </row>
    <row r="23" spans="1:24" x14ac:dyDescent="0.25">
      <c r="A23" s="8">
        <v>2864</v>
      </c>
      <c r="B23" s="8">
        <v>2805</v>
      </c>
      <c r="C23" s="8">
        <v>1117</v>
      </c>
      <c r="D23" s="8">
        <v>994</v>
      </c>
      <c r="E23" s="8">
        <v>2517</v>
      </c>
      <c r="F23" s="8">
        <v>1821</v>
      </c>
      <c r="G23" s="8">
        <v>1763</v>
      </c>
      <c r="H23" s="8">
        <v>2503</v>
      </c>
      <c r="I23" s="8">
        <v>1</v>
      </c>
      <c r="J23" s="10">
        <f t="shared" si="3"/>
        <v>180625</v>
      </c>
      <c r="K23" s="10">
        <f t="shared" si="3"/>
        <v>4613904</v>
      </c>
      <c r="L23" s="10">
        <f t="shared" si="3"/>
        <v>11881</v>
      </c>
      <c r="M23" s="8">
        <f t="shared" si="3"/>
        <v>10609</v>
      </c>
      <c r="N23" s="10">
        <f t="shared" si="3"/>
        <v>2934369</v>
      </c>
      <c r="O23" s="10">
        <f t="shared" si="3"/>
        <v>2927521</v>
      </c>
      <c r="P23" s="10">
        <f t="shared" si="3"/>
        <v>2125764</v>
      </c>
      <c r="Q23" s="10">
        <f t="shared" si="3"/>
        <v>1766241</v>
      </c>
      <c r="R23" s="10">
        <f t="shared" si="1"/>
        <v>14570914</v>
      </c>
      <c r="S23" s="10">
        <f t="shared" si="2"/>
        <v>3817.186660356027</v>
      </c>
      <c r="T23" s="8">
        <v>23</v>
      </c>
      <c r="U23" s="8" t="s">
        <v>59</v>
      </c>
      <c r="V23" s="8">
        <v>17</v>
      </c>
      <c r="W23" s="8">
        <v>18</v>
      </c>
      <c r="X23" s="8">
        <v>35</v>
      </c>
    </row>
    <row r="24" spans="1:24" x14ac:dyDescent="0.25">
      <c r="A24" s="2">
        <v>4037</v>
      </c>
      <c r="B24" s="2">
        <v>2773</v>
      </c>
      <c r="C24" s="2">
        <v>1621</v>
      </c>
      <c r="D24" s="2">
        <v>2495</v>
      </c>
      <c r="E24" s="2">
        <v>1797</v>
      </c>
      <c r="F24" s="2">
        <v>1754</v>
      </c>
      <c r="G24" s="2">
        <v>1571</v>
      </c>
      <c r="H24" s="2">
        <v>336</v>
      </c>
      <c r="I24" s="2">
        <v>1</v>
      </c>
      <c r="J24" s="7">
        <f t="shared" si="3"/>
        <v>2553604</v>
      </c>
      <c r="K24" s="7">
        <f t="shared" si="3"/>
        <v>4477456</v>
      </c>
      <c r="L24" s="7">
        <f t="shared" si="3"/>
        <v>375769</v>
      </c>
      <c r="M24" s="2">
        <f t="shared" si="3"/>
        <v>2572816</v>
      </c>
      <c r="N24" s="7">
        <f t="shared" si="3"/>
        <v>986049</v>
      </c>
      <c r="O24" s="7">
        <f t="shared" si="3"/>
        <v>3161284</v>
      </c>
      <c r="P24" s="7">
        <f t="shared" si="3"/>
        <v>2722500</v>
      </c>
      <c r="Q24" s="7">
        <f t="shared" si="3"/>
        <v>12222016</v>
      </c>
      <c r="R24" s="7">
        <f t="shared" si="1"/>
        <v>29071494</v>
      </c>
      <c r="S24" s="7">
        <f t="shared" si="2"/>
        <v>5391.7987722095122</v>
      </c>
      <c r="T24" s="2">
        <v>37</v>
      </c>
      <c r="U24" s="2" t="s">
        <v>60</v>
      </c>
      <c r="V24" s="2">
        <v>17</v>
      </c>
      <c r="W24" s="2">
        <v>18</v>
      </c>
      <c r="X24" s="2">
        <v>35</v>
      </c>
    </row>
    <row r="25" spans="1:24" x14ac:dyDescent="0.25">
      <c r="A25" s="9">
        <v>668</v>
      </c>
      <c r="B25" s="9">
        <v>283</v>
      </c>
      <c r="C25" s="9">
        <v>1446</v>
      </c>
      <c r="D25" s="9">
        <v>1554</v>
      </c>
      <c r="E25" s="9">
        <v>2967</v>
      </c>
      <c r="F25" s="9">
        <v>2872</v>
      </c>
      <c r="G25" s="9">
        <v>2941</v>
      </c>
      <c r="H25" s="9">
        <v>3653</v>
      </c>
      <c r="I25" s="9">
        <v>1</v>
      </c>
      <c r="J25" s="11">
        <f t="shared" si="3"/>
        <v>3136441</v>
      </c>
      <c r="K25" s="11">
        <f t="shared" si="3"/>
        <v>139876</v>
      </c>
      <c r="L25" s="11">
        <f t="shared" si="3"/>
        <v>191844</v>
      </c>
      <c r="M25" s="9">
        <f t="shared" si="3"/>
        <v>439569</v>
      </c>
      <c r="N25" s="11">
        <f t="shared" si="3"/>
        <v>4678569</v>
      </c>
      <c r="O25" s="11">
        <f t="shared" si="3"/>
        <v>435600</v>
      </c>
      <c r="P25" s="11">
        <f t="shared" si="3"/>
        <v>78400</v>
      </c>
      <c r="Q25" s="11">
        <f t="shared" si="3"/>
        <v>32041</v>
      </c>
      <c r="R25" s="11">
        <f t="shared" si="1"/>
        <v>9132340</v>
      </c>
      <c r="S25" s="11">
        <f t="shared" si="2"/>
        <v>3021.97617462481</v>
      </c>
      <c r="T25" s="9">
        <v>10</v>
      </c>
      <c r="U25" s="9" t="s">
        <v>59</v>
      </c>
      <c r="V25" s="9">
        <v>17</v>
      </c>
      <c r="W25" s="9">
        <v>18</v>
      </c>
      <c r="X25" s="9">
        <v>35</v>
      </c>
    </row>
    <row r="26" spans="1:24" x14ac:dyDescent="0.25">
      <c r="A26" s="9">
        <v>293</v>
      </c>
      <c r="B26" s="9">
        <v>424</v>
      </c>
      <c r="C26" s="9">
        <v>840</v>
      </c>
      <c r="D26" s="9">
        <v>1105</v>
      </c>
      <c r="E26" s="9">
        <v>4240</v>
      </c>
      <c r="F26" s="9">
        <v>3377</v>
      </c>
      <c r="G26" s="9">
        <v>3880</v>
      </c>
      <c r="H26" s="9">
        <v>2225</v>
      </c>
      <c r="I26" s="9">
        <v>1</v>
      </c>
      <c r="J26" s="11">
        <f t="shared" si="3"/>
        <v>4605316</v>
      </c>
      <c r="K26" s="11">
        <f t="shared" si="3"/>
        <v>54289</v>
      </c>
      <c r="L26" s="11">
        <f t="shared" si="3"/>
        <v>28224</v>
      </c>
      <c r="M26" s="9">
        <f t="shared" si="3"/>
        <v>45796</v>
      </c>
      <c r="N26" s="11">
        <f t="shared" si="3"/>
        <v>11806096</v>
      </c>
      <c r="O26" s="11">
        <f t="shared" si="3"/>
        <v>24025</v>
      </c>
      <c r="P26" s="11">
        <f t="shared" si="3"/>
        <v>434281</v>
      </c>
      <c r="Q26" s="11">
        <f t="shared" si="3"/>
        <v>2582449</v>
      </c>
      <c r="R26" s="11">
        <f t="shared" si="1"/>
        <v>19580476</v>
      </c>
      <c r="S26" s="11">
        <f t="shared" si="2"/>
        <v>4424.9831638097785</v>
      </c>
      <c r="T26" s="9">
        <v>28</v>
      </c>
      <c r="U26" s="9" t="s">
        <v>59</v>
      </c>
      <c r="V26" s="9">
        <v>17</v>
      </c>
      <c r="W26" s="9">
        <v>18</v>
      </c>
      <c r="X26" s="9">
        <v>35</v>
      </c>
    </row>
    <row r="27" spans="1:24" x14ac:dyDescent="0.25">
      <c r="A27" s="9">
        <v>1370</v>
      </c>
      <c r="B27" s="9">
        <v>1930</v>
      </c>
      <c r="C27" s="9">
        <v>337</v>
      </c>
      <c r="D27" s="9">
        <v>814</v>
      </c>
      <c r="E27" s="9">
        <v>2352</v>
      </c>
      <c r="F27" s="9">
        <v>3740</v>
      </c>
      <c r="G27" s="9">
        <v>3204</v>
      </c>
      <c r="H27" s="9">
        <v>2637</v>
      </c>
      <c r="I27" s="9">
        <v>1</v>
      </c>
      <c r="J27" s="11">
        <f t="shared" si="3"/>
        <v>1142761</v>
      </c>
      <c r="K27" s="11">
        <f t="shared" si="3"/>
        <v>1620529</v>
      </c>
      <c r="L27" s="11">
        <f t="shared" si="3"/>
        <v>450241</v>
      </c>
      <c r="M27" s="9">
        <f t="shared" si="3"/>
        <v>5929</v>
      </c>
      <c r="N27" s="11">
        <f t="shared" si="3"/>
        <v>2396304</v>
      </c>
      <c r="O27" s="11">
        <f t="shared" si="3"/>
        <v>43264</v>
      </c>
      <c r="P27" s="11">
        <f t="shared" si="3"/>
        <v>289</v>
      </c>
      <c r="Q27" s="11">
        <f t="shared" si="3"/>
        <v>1428025</v>
      </c>
      <c r="R27" s="11">
        <f t="shared" si="1"/>
        <v>7087342</v>
      </c>
      <c r="S27" s="11">
        <f t="shared" si="2"/>
        <v>2662.206227924501</v>
      </c>
      <c r="T27" s="9">
        <v>4</v>
      </c>
      <c r="U27" s="9" t="s">
        <v>59</v>
      </c>
      <c r="V27" s="9">
        <v>17</v>
      </c>
      <c r="W27" s="9">
        <v>18</v>
      </c>
      <c r="X27" s="9">
        <v>35</v>
      </c>
    </row>
    <row r="28" spans="1:24" x14ac:dyDescent="0.25">
      <c r="A28" s="9">
        <v>307</v>
      </c>
      <c r="B28" s="9">
        <v>445</v>
      </c>
      <c r="C28" s="9">
        <v>1091</v>
      </c>
      <c r="D28" s="9">
        <v>1528</v>
      </c>
      <c r="E28" s="9">
        <v>2975</v>
      </c>
      <c r="F28" s="9">
        <v>4513</v>
      </c>
      <c r="G28" s="9">
        <v>3275</v>
      </c>
      <c r="H28" s="9">
        <v>2250</v>
      </c>
      <c r="I28" s="9">
        <v>1</v>
      </c>
      <c r="J28" s="11">
        <f t="shared" si="3"/>
        <v>4545424</v>
      </c>
      <c r="K28" s="11">
        <f t="shared" si="3"/>
        <v>44944</v>
      </c>
      <c r="L28" s="11">
        <f t="shared" si="3"/>
        <v>6889</v>
      </c>
      <c r="M28" s="9">
        <f t="shared" si="3"/>
        <v>405769</v>
      </c>
      <c r="N28" s="11">
        <f t="shared" si="3"/>
        <v>4713241</v>
      </c>
      <c r="O28" s="11">
        <f t="shared" si="3"/>
        <v>962361</v>
      </c>
      <c r="P28" s="11">
        <f t="shared" si="3"/>
        <v>2916</v>
      </c>
      <c r="Q28" s="11">
        <f t="shared" si="3"/>
        <v>2502724</v>
      </c>
      <c r="R28" s="11">
        <f t="shared" si="1"/>
        <v>13184268</v>
      </c>
      <c r="S28" s="11">
        <f t="shared" si="2"/>
        <v>3631.0147342030987</v>
      </c>
      <c r="T28" s="9">
        <v>19</v>
      </c>
      <c r="U28" s="9" t="s">
        <v>59</v>
      </c>
      <c r="V28" s="9">
        <v>17</v>
      </c>
      <c r="W28" s="9">
        <v>18</v>
      </c>
      <c r="X28" s="9">
        <v>35</v>
      </c>
    </row>
    <row r="29" spans="1:24" x14ac:dyDescent="0.25">
      <c r="A29" s="9">
        <v>2460</v>
      </c>
      <c r="B29" s="9">
        <v>323</v>
      </c>
      <c r="C29" s="9">
        <v>693</v>
      </c>
      <c r="D29" s="9">
        <v>1346</v>
      </c>
      <c r="E29" s="9">
        <v>1089</v>
      </c>
      <c r="F29" s="9">
        <v>3261</v>
      </c>
      <c r="G29" s="9">
        <v>2422</v>
      </c>
      <c r="H29" s="9">
        <v>4790</v>
      </c>
      <c r="I29" s="9">
        <v>1</v>
      </c>
      <c r="J29" s="11">
        <f t="shared" si="3"/>
        <v>441</v>
      </c>
      <c r="K29" s="11">
        <f t="shared" si="3"/>
        <v>111556</v>
      </c>
      <c r="L29" s="11">
        <f t="shared" si="3"/>
        <v>99225</v>
      </c>
      <c r="M29" s="9">
        <f t="shared" si="3"/>
        <v>207025</v>
      </c>
      <c r="N29" s="11">
        <f t="shared" si="3"/>
        <v>81225</v>
      </c>
      <c r="O29" s="11">
        <f t="shared" si="3"/>
        <v>73441</v>
      </c>
      <c r="P29" s="11">
        <f t="shared" si="3"/>
        <v>638401</v>
      </c>
      <c r="Q29" s="11">
        <f t="shared" si="3"/>
        <v>917764</v>
      </c>
      <c r="R29" s="11">
        <f t="shared" si="1"/>
        <v>2129078</v>
      </c>
      <c r="S29" s="11">
        <f t="shared" si="2"/>
        <v>1459.1360457476198</v>
      </c>
      <c r="T29" s="9">
        <v>1</v>
      </c>
      <c r="U29" s="9" t="s">
        <v>59</v>
      </c>
      <c r="V29" s="9">
        <v>17</v>
      </c>
      <c r="W29" s="9">
        <v>18</v>
      </c>
      <c r="X29" s="9">
        <v>35</v>
      </c>
    </row>
    <row r="30" spans="1:24" x14ac:dyDescent="0.25">
      <c r="A30" s="9">
        <v>322</v>
      </c>
      <c r="B30" s="9">
        <v>294</v>
      </c>
      <c r="C30" s="9">
        <v>460</v>
      </c>
      <c r="D30" s="9">
        <v>1204</v>
      </c>
      <c r="E30" s="9">
        <v>2401</v>
      </c>
      <c r="F30" s="9">
        <v>4397</v>
      </c>
      <c r="G30" s="9">
        <v>5635</v>
      </c>
      <c r="H30" s="9">
        <v>1671</v>
      </c>
      <c r="I30" s="9">
        <v>1</v>
      </c>
      <c r="J30" s="11">
        <f t="shared" si="3"/>
        <v>4481689</v>
      </c>
      <c r="K30" s="11">
        <f t="shared" si="3"/>
        <v>131769</v>
      </c>
      <c r="L30" s="11">
        <f t="shared" si="3"/>
        <v>300304</v>
      </c>
      <c r="M30" s="9">
        <f t="shared" si="3"/>
        <v>97969</v>
      </c>
      <c r="N30" s="11">
        <f t="shared" si="3"/>
        <v>2550409</v>
      </c>
      <c r="O30" s="11">
        <f t="shared" si="3"/>
        <v>748225</v>
      </c>
      <c r="P30" s="11">
        <f t="shared" si="3"/>
        <v>5827396</v>
      </c>
      <c r="Q30" s="11">
        <f t="shared" si="3"/>
        <v>4669921</v>
      </c>
      <c r="R30" s="11">
        <f t="shared" si="1"/>
        <v>18807682</v>
      </c>
      <c r="S30" s="11">
        <f t="shared" si="2"/>
        <v>4336.7824478523244</v>
      </c>
      <c r="T30" s="9">
        <v>26</v>
      </c>
      <c r="U30" s="9" t="s">
        <v>59</v>
      </c>
      <c r="V30" s="9">
        <v>17</v>
      </c>
      <c r="W30" s="9">
        <v>18</v>
      </c>
      <c r="X30" s="9">
        <v>35</v>
      </c>
    </row>
    <row r="31" spans="1:24" x14ac:dyDescent="0.25">
      <c r="A31" s="9">
        <v>622</v>
      </c>
      <c r="B31" s="9">
        <v>852</v>
      </c>
      <c r="C31" s="9">
        <v>2394</v>
      </c>
      <c r="D31" s="9">
        <v>461</v>
      </c>
      <c r="E31" s="9">
        <v>2144</v>
      </c>
      <c r="F31" s="9">
        <v>2799</v>
      </c>
      <c r="G31" s="9">
        <v>5641</v>
      </c>
      <c r="H31" s="9">
        <v>1471</v>
      </c>
      <c r="I31" s="9">
        <v>1</v>
      </c>
      <c r="J31" s="11">
        <f t="shared" si="3"/>
        <v>3301489</v>
      </c>
      <c r="K31" s="11">
        <f t="shared" si="3"/>
        <v>38025</v>
      </c>
      <c r="L31" s="11">
        <f t="shared" si="3"/>
        <v>1920996</v>
      </c>
      <c r="M31" s="9">
        <f t="shared" si="3"/>
        <v>184900</v>
      </c>
      <c r="N31" s="11">
        <f t="shared" si="3"/>
        <v>1795600</v>
      </c>
      <c r="O31" s="11">
        <f t="shared" si="3"/>
        <v>537289</v>
      </c>
      <c r="P31" s="11">
        <f t="shared" si="3"/>
        <v>5856400</v>
      </c>
      <c r="Q31" s="11">
        <f t="shared" si="3"/>
        <v>5574321</v>
      </c>
      <c r="R31" s="11">
        <f t="shared" si="1"/>
        <v>19209020</v>
      </c>
      <c r="S31" s="11">
        <f t="shared" si="2"/>
        <v>4382.8096011576863</v>
      </c>
      <c r="T31" s="9">
        <v>27</v>
      </c>
      <c r="U31" s="9" t="s">
        <v>59</v>
      </c>
      <c r="V31" s="9">
        <v>17</v>
      </c>
      <c r="W31" s="9">
        <v>18</v>
      </c>
      <c r="X31" s="9">
        <v>35</v>
      </c>
    </row>
    <row r="32" spans="1:24" x14ac:dyDescent="0.25">
      <c r="A32" s="9">
        <v>1447</v>
      </c>
      <c r="B32" s="9">
        <v>1549</v>
      </c>
      <c r="C32" s="9">
        <v>1023</v>
      </c>
      <c r="D32" s="9">
        <v>331</v>
      </c>
      <c r="E32" s="9">
        <v>715</v>
      </c>
      <c r="F32" s="9">
        <v>1830</v>
      </c>
      <c r="G32" s="9">
        <v>3573</v>
      </c>
      <c r="H32" s="9">
        <v>5916</v>
      </c>
      <c r="I32" s="9">
        <v>1</v>
      </c>
      <c r="J32" s="11">
        <f t="shared" si="3"/>
        <v>984064</v>
      </c>
      <c r="K32" s="11">
        <f t="shared" si="3"/>
        <v>795664</v>
      </c>
      <c r="L32" s="11">
        <f t="shared" si="3"/>
        <v>225</v>
      </c>
      <c r="M32" s="9">
        <f t="shared" si="3"/>
        <v>313600</v>
      </c>
      <c r="N32" s="11">
        <f t="shared" si="3"/>
        <v>7921</v>
      </c>
      <c r="O32" s="11">
        <f t="shared" si="3"/>
        <v>2896804</v>
      </c>
      <c r="P32" s="11">
        <f t="shared" si="3"/>
        <v>123904</v>
      </c>
      <c r="Q32" s="11">
        <f t="shared" si="3"/>
        <v>4343056</v>
      </c>
      <c r="R32" s="11">
        <f t="shared" si="1"/>
        <v>9465238</v>
      </c>
      <c r="S32" s="11">
        <f t="shared" si="2"/>
        <v>3076.5626923565201</v>
      </c>
      <c r="T32" s="9">
        <v>11</v>
      </c>
      <c r="U32" s="9" t="s">
        <v>59</v>
      </c>
      <c r="V32" s="9">
        <v>17</v>
      </c>
      <c r="W32" s="9">
        <v>18</v>
      </c>
      <c r="X32" s="9">
        <v>35</v>
      </c>
    </row>
    <row r="33" spans="1:24" x14ac:dyDescent="0.25">
      <c r="A33" s="9">
        <v>550</v>
      </c>
      <c r="B33" s="9">
        <v>616</v>
      </c>
      <c r="C33" s="9">
        <v>1341</v>
      </c>
      <c r="D33" s="9">
        <v>1574</v>
      </c>
      <c r="E33" s="9">
        <v>2902</v>
      </c>
      <c r="F33" s="9">
        <v>2868</v>
      </c>
      <c r="G33" s="9">
        <v>4000</v>
      </c>
      <c r="H33" s="9">
        <v>2533</v>
      </c>
      <c r="I33" s="9">
        <v>1</v>
      </c>
      <c r="J33" s="11">
        <f t="shared" si="3"/>
        <v>3568321</v>
      </c>
      <c r="K33" s="11">
        <f t="shared" si="3"/>
        <v>1681</v>
      </c>
      <c r="L33" s="11">
        <f t="shared" si="3"/>
        <v>110889</v>
      </c>
      <c r="M33" s="9">
        <f t="shared" si="3"/>
        <v>466489</v>
      </c>
      <c r="N33" s="11">
        <f t="shared" si="3"/>
        <v>4401604</v>
      </c>
      <c r="O33" s="11">
        <f t="shared" si="3"/>
        <v>440896</v>
      </c>
      <c r="P33" s="11">
        <f t="shared" si="3"/>
        <v>606841</v>
      </c>
      <c r="Q33" s="11">
        <f t="shared" si="3"/>
        <v>1687401</v>
      </c>
      <c r="R33" s="11">
        <f t="shared" si="1"/>
        <v>11284122</v>
      </c>
      <c r="S33" s="11">
        <f t="shared" si="2"/>
        <v>3359.1847225182482</v>
      </c>
      <c r="T33" s="9">
        <v>14</v>
      </c>
      <c r="U33" s="9" t="s">
        <v>59</v>
      </c>
      <c r="V33" s="9">
        <v>17</v>
      </c>
      <c r="W33" s="9">
        <v>18</v>
      </c>
      <c r="X33" s="9">
        <v>35</v>
      </c>
    </row>
    <row r="34" spans="1:24" x14ac:dyDescent="0.25">
      <c r="A34" s="9">
        <v>724</v>
      </c>
      <c r="B34" s="9">
        <v>1604</v>
      </c>
      <c r="C34" s="9">
        <v>1192</v>
      </c>
      <c r="D34" s="9">
        <v>2254</v>
      </c>
      <c r="E34" s="9">
        <v>2619</v>
      </c>
      <c r="F34" s="9">
        <v>1841</v>
      </c>
      <c r="G34" s="9">
        <v>3835</v>
      </c>
      <c r="H34" s="9">
        <v>2315</v>
      </c>
      <c r="I34" s="9">
        <v>1</v>
      </c>
      <c r="J34" s="11">
        <f t="shared" si="3"/>
        <v>2941225</v>
      </c>
      <c r="K34" s="11">
        <f t="shared" si="3"/>
        <v>896809</v>
      </c>
      <c r="L34" s="11">
        <f t="shared" si="3"/>
        <v>33856</v>
      </c>
      <c r="M34" s="9">
        <f t="shared" si="3"/>
        <v>1857769</v>
      </c>
      <c r="N34" s="11">
        <f t="shared" si="3"/>
        <v>3294225</v>
      </c>
      <c r="O34" s="11">
        <f t="shared" si="3"/>
        <v>2859481</v>
      </c>
      <c r="P34" s="11">
        <f t="shared" si="3"/>
        <v>376996</v>
      </c>
      <c r="Q34" s="11">
        <f t="shared" si="3"/>
        <v>2301289</v>
      </c>
      <c r="R34" s="11">
        <f t="shared" si="1"/>
        <v>14561650</v>
      </c>
      <c r="S34" s="11">
        <f t="shared" si="2"/>
        <v>3815.9730082902838</v>
      </c>
      <c r="T34" s="9">
        <v>22</v>
      </c>
      <c r="U34" s="9" t="s">
        <v>59</v>
      </c>
      <c r="V34" s="9">
        <v>17</v>
      </c>
      <c r="W34" s="9">
        <v>18</v>
      </c>
      <c r="X34" s="9">
        <v>35</v>
      </c>
    </row>
    <row r="35" spans="1:24" x14ac:dyDescent="0.25">
      <c r="A35" s="2">
        <v>210</v>
      </c>
      <c r="B35" s="2">
        <v>891</v>
      </c>
      <c r="C35" s="2">
        <v>3360</v>
      </c>
      <c r="D35" s="2">
        <v>1630</v>
      </c>
      <c r="E35" s="2">
        <v>3365</v>
      </c>
      <c r="F35" s="2">
        <v>4107</v>
      </c>
      <c r="G35" s="2">
        <v>1642</v>
      </c>
      <c r="H35" s="2">
        <v>1179</v>
      </c>
      <c r="I35" s="2">
        <v>1</v>
      </c>
      <c r="J35" s="7">
        <f t="shared" si="3"/>
        <v>4968441</v>
      </c>
      <c r="K35" s="7">
        <f t="shared" si="3"/>
        <v>54756</v>
      </c>
      <c r="L35" s="7">
        <f t="shared" si="3"/>
        <v>5531904</v>
      </c>
      <c r="M35" s="2">
        <f t="shared" si="3"/>
        <v>546121</v>
      </c>
      <c r="N35" s="7">
        <f t="shared" si="3"/>
        <v>6558721</v>
      </c>
      <c r="O35" s="7">
        <f t="shared" si="3"/>
        <v>330625</v>
      </c>
      <c r="P35" s="7">
        <f t="shared" si="3"/>
        <v>2493241</v>
      </c>
      <c r="Q35" s="7">
        <f t="shared" si="3"/>
        <v>7038409</v>
      </c>
      <c r="R35" s="7">
        <f t="shared" si="1"/>
        <v>27522218</v>
      </c>
      <c r="S35" s="7">
        <f t="shared" si="2"/>
        <v>5246.1622163253778</v>
      </c>
      <c r="T35" s="2">
        <v>36</v>
      </c>
      <c r="U35" s="2" t="s">
        <v>60</v>
      </c>
      <c r="V35" s="2">
        <v>17</v>
      </c>
      <c r="W35" s="2">
        <v>18</v>
      </c>
      <c r="X35" s="2">
        <v>35</v>
      </c>
    </row>
    <row r="36" spans="1:24" x14ac:dyDescent="0.25">
      <c r="A36" s="9">
        <v>1681</v>
      </c>
      <c r="B36" s="9">
        <v>1770</v>
      </c>
      <c r="C36" s="9">
        <v>720</v>
      </c>
      <c r="D36" s="9">
        <v>1674</v>
      </c>
      <c r="E36" s="9">
        <v>2136</v>
      </c>
      <c r="F36" s="9">
        <v>1375</v>
      </c>
      <c r="G36" s="9">
        <v>3142</v>
      </c>
      <c r="H36" s="9">
        <v>3886</v>
      </c>
      <c r="I36" s="9">
        <v>1</v>
      </c>
      <c r="J36" s="11">
        <f t="shared" si="3"/>
        <v>574564</v>
      </c>
      <c r="K36" s="11">
        <f t="shared" si="3"/>
        <v>1238769</v>
      </c>
      <c r="L36" s="11">
        <f t="shared" si="3"/>
        <v>82944</v>
      </c>
      <c r="M36" s="9">
        <f t="shared" si="3"/>
        <v>613089</v>
      </c>
      <c r="N36" s="11">
        <f t="shared" si="3"/>
        <v>1774224</v>
      </c>
      <c r="O36" s="11">
        <f t="shared" si="3"/>
        <v>4652649</v>
      </c>
      <c r="P36" s="11">
        <f t="shared" si="3"/>
        <v>6241</v>
      </c>
      <c r="Q36" s="11">
        <f t="shared" si="3"/>
        <v>2916</v>
      </c>
      <c r="R36" s="11">
        <f t="shared" si="1"/>
        <v>8945396</v>
      </c>
      <c r="S36" s="11">
        <f t="shared" si="2"/>
        <v>2990.8854876106507</v>
      </c>
      <c r="T36" s="9">
        <v>8</v>
      </c>
      <c r="U36" s="9" t="s">
        <v>59</v>
      </c>
      <c r="V36" s="9">
        <v>17</v>
      </c>
      <c r="W36" s="9">
        <v>18</v>
      </c>
      <c r="X36" s="9">
        <v>35</v>
      </c>
    </row>
    <row r="37" spans="1:24" x14ac:dyDescent="0.25">
      <c r="A37" s="9">
        <v>1423</v>
      </c>
      <c r="B37" s="9">
        <v>528</v>
      </c>
      <c r="C37" s="9">
        <v>1509</v>
      </c>
      <c r="D37" s="9">
        <v>365</v>
      </c>
      <c r="E37" s="9">
        <v>1767</v>
      </c>
      <c r="F37" s="9">
        <v>1656</v>
      </c>
      <c r="G37" s="9">
        <v>5937</v>
      </c>
      <c r="H37" s="9">
        <v>3199</v>
      </c>
      <c r="I37" s="9">
        <v>1</v>
      </c>
      <c r="J37" s="11">
        <f t="shared" si="3"/>
        <v>1032256</v>
      </c>
      <c r="K37" s="11">
        <f t="shared" si="3"/>
        <v>16641</v>
      </c>
      <c r="L37" s="11">
        <f t="shared" si="3"/>
        <v>251001</v>
      </c>
      <c r="M37" s="9">
        <f t="shared" si="3"/>
        <v>276676</v>
      </c>
      <c r="N37" s="11">
        <f t="shared" si="3"/>
        <v>927369</v>
      </c>
      <c r="O37" s="11">
        <f t="shared" si="3"/>
        <v>3519376</v>
      </c>
      <c r="P37" s="11">
        <f t="shared" si="3"/>
        <v>7376656</v>
      </c>
      <c r="Q37" s="11">
        <f t="shared" si="3"/>
        <v>400689</v>
      </c>
      <c r="R37" s="11">
        <f t="shared" si="1"/>
        <v>13800664</v>
      </c>
      <c r="S37" s="11">
        <f t="shared" si="2"/>
        <v>3714.9244945220621</v>
      </c>
      <c r="T37" s="9">
        <v>20</v>
      </c>
      <c r="U37" s="9" t="s">
        <v>59</v>
      </c>
      <c r="V37" s="9">
        <v>17</v>
      </c>
      <c r="W37" s="9">
        <v>18</v>
      </c>
      <c r="X37" s="9">
        <v>35</v>
      </c>
    </row>
    <row r="38" spans="1:24" x14ac:dyDescent="0.25">
      <c r="A38" s="9">
        <v>414</v>
      </c>
      <c r="B38" s="9">
        <v>1232</v>
      </c>
      <c r="C38" s="9">
        <v>1471</v>
      </c>
      <c r="D38" s="9">
        <v>3465</v>
      </c>
      <c r="E38" s="9">
        <v>2676</v>
      </c>
      <c r="F38" s="9">
        <v>1913</v>
      </c>
      <c r="G38" s="9">
        <v>3291</v>
      </c>
      <c r="H38" s="9">
        <v>1922</v>
      </c>
      <c r="I38" s="9">
        <v>1</v>
      </c>
      <c r="J38" s="11">
        <f t="shared" si="3"/>
        <v>4100625</v>
      </c>
      <c r="K38" s="11">
        <f t="shared" si="3"/>
        <v>330625</v>
      </c>
      <c r="L38" s="11">
        <f t="shared" si="3"/>
        <v>214369</v>
      </c>
      <c r="M38" s="9">
        <f t="shared" si="3"/>
        <v>6625476</v>
      </c>
      <c r="N38" s="11">
        <f t="shared" si="3"/>
        <v>3504384</v>
      </c>
      <c r="O38" s="11">
        <f t="shared" si="3"/>
        <v>2621161</v>
      </c>
      <c r="P38" s="11">
        <f t="shared" si="3"/>
        <v>4900</v>
      </c>
      <c r="Q38" s="11">
        <f t="shared" si="3"/>
        <v>3648100</v>
      </c>
      <c r="R38" s="11">
        <f t="shared" si="1"/>
        <v>21049640</v>
      </c>
      <c r="S38" s="11">
        <f t="shared" si="2"/>
        <v>4587.988666071441</v>
      </c>
      <c r="T38" s="9">
        <v>30</v>
      </c>
      <c r="U38" s="9" t="s">
        <v>59</v>
      </c>
      <c r="V38" s="9">
        <v>17</v>
      </c>
      <c r="W38" s="9">
        <v>18</v>
      </c>
      <c r="X38" s="9">
        <v>35</v>
      </c>
    </row>
    <row r="39" spans="1:24" x14ac:dyDescent="0.25">
      <c r="A39" s="9">
        <v>2770</v>
      </c>
      <c r="B39" s="9">
        <v>1918</v>
      </c>
      <c r="C39" s="9">
        <v>1045</v>
      </c>
      <c r="D39" s="9">
        <v>1620</v>
      </c>
      <c r="E39" s="9">
        <v>1126</v>
      </c>
      <c r="F39" s="9">
        <v>1368</v>
      </c>
      <c r="G39" s="9">
        <v>3343</v>
      </c>
      <c r="H39" s="9">
        <v>3194</v>
      </c>
      <c r="I39" s="9">
        <v>1</v>
      </c>
      <c r="J39" s="11">
        <f t="shared" si="3"/>
        <v>109561</v>
      </c>
      <c r="K39" s="11">
        <f t="shared" si="3"/>
        <v>1590121</v>
      </c>
      <c r="L39" s="11">
        <f t="shared" si="3"/>
        <v>1369</v>
      </c>
      <c r="M39" s="9">
        <f t="shared" si="3"/>
        <v>531441</v>
      </c>
      <c r="N39" s="11">
        <f t="shared" si="3"/>
        <v>103684</v>
      </c>
      <c r="O39" s="11">
        <f t="shared" si="3"/>
        <v>4682896</v>
      </c>
      <c r="P39" s="11">
        <f t="shared" si="3"/>
        <v>14884</v>
      </c>
      <c r="Q39" s="11">
        <f t="shared" si="3"/>
        <v>407044</v>
      </c>
      <c r="R39" s="11">
        <f t="shared" si="1"/>
        <v>7441000</v>
      </c>
      <c r="S39" s="11">
        <f t="shared" si="2"/>
        <v>2727.8196421317889</v>
      </c>
      <c r="T39" s="9">
        <v>5</v>
      </c>
      <c r="U39" s="9" t="s">
        <v>59</v>
      </c>
      <c r="V39" s="9">
        <v>17</v>
      </c>
      <c r="W39" s="9">
        <v>18</v>
      </c>
      <c r="X39" s="9">
        <v>35</v>
      </c>
    </row>
    <row r="40" spans="1:24" x14ac:dyDescent="0.25">
      <c r="A40" s="9">
        <v>2144</v>
      </c>
      <c r="B40" s="9">
        <v>1821</v>
      </c>
      <c r="C40" s="9">
        <v>1420</v>
      </c>
      <c r="D40" s="9">
        <v>2940</v>
      </c>
      <c r="E40" s="9">
        <v>2505</v>
      </c>
      <c r="F40" s="9">
        <v>2219</v>
      </c>
      <c r="G40" s="9">
        <v>3129</v>
      </c>
      <c r="H40" s="9">
        <v>206</v>
      </c>
      <c r="I40" s="9">
        <v>1</v>
      </c>
      <c r="J40" s="11">
        <f t="shared" si="3"/>
        <v>87025</v>
      </c>
      <c r="K40" s="11">
        <f t="shared" si="3"/>
        <v>1354896</v>
      </c>
      <c r="L40" s="11">
        <f t="shared" si="3"/>
        <v>169744</v>
      </c>
      <c r="M40" s="9">
        <f t="shared" si="3"/>
        <v>4198401</v>
      </c>
      <c r="N40" s="11">
        <f t="shared" si="3"/>
        <v>2893401</v>
      </c>
      <c r="O40" s="11">
        <f t="shared" si="3"/>
        <v>1723969</v>
      </c>
      <c r="P40" s="11">
        <f t="shared" si="3"/>
        <v>8464</v>
      </c>
      <c r="Q40" s="11">
        <f t="shared" si="3"/>
        <v>13147876</v>
      </c>
      <c r="R40" s="11">
        <f t="shared" si="1"/>
        <v>23583776</v>
      </c>
      <c r="S40" s="11">
        <f t="shared" si="2"/>
        <v>4856.3130047392951</v>
      </c>
      <c r="T40" s="9">
        <v>33</v>
      </c>
      <c r="U40" s="9" t="s">
        <v>59</v>
      </c>
      <c r="V40" s="9">
        <v>17</v>
      </c>
      <c r="W40" s="9">
        <v>18</v>
      </c>
      <c r="X40" s="9">
        <v>35</v>
      </c>
    </row>
    <row r="41" spans="1:24" x14ac:dyDescent="0.25">
      <c r="A41" s="9">
        <v>2877</v>
      </c>
      <c r="B41" s="9">
        <v>1127</v>
      </c>
      <c r="C41" s="9">
        <v>878</v>
      </c>
      <c r="D41" s="9">
        <v>1101</v>
      </c>
      <c r="E41" s="9">
        <v>2109</v>
      </c>
      <c r="F41" s="9">
        <v>2220</v>
      </c>
      <c r="G41" s="9">
        <v>3774</v>
      </c>
      <c r="H41" s="9">
        <v>2298</v>
      </c>
      <c r="I41" s="9">
        <v>1</v>
      </c>
      <c r="J41" s="11">
        <f t="shared" si="3"/>
        <v>191844</v>
      </c>
      <c r="K41" s="11">
        <f t="shared" si="3"/>
        <v>220900</v>
      </c>
      <c r="L41" s="11">
        <f t="shared" si="3"/>
        <v>16900</v>
      </c>
      <c r="M41" s="9">
        <f t="shared" si="3"/>
        <v>44100</v>
      </c>
      <c r="N41" s="11">
        <f t="shared" si="3"/>
        <v>1703025</v>
      </c>
      <c r="O41" s="11">
        <f t="shared" si="3"/>
        <v>1721344</v>
      </c>
      <c r="P41" s="11">
        <f t="shared" si="3"/>
        <v>305809</v>
      </c>
      <c r="Q41" s="11">
        <f t="shared" si="3"/>
        <v>2353156</v>
      </c>
      <c r="R41" s="11">
        <f t="shared" si="1"/>
        <v>6557078</v>
      </c>
      <c r="S41" s="11">
        <f t="shared" si="2"/>
        <v>2560.679206773078</v>
      </c>
      <c r="T41" s="9">
        <v>3</v>
      </c>
      <c r="U41" s="9" t="s">
        <v>59</v>
      </c>
      <c r="V41" s="9">
        <v>17</v>
      </c>
      <c r="W41" s="9">
        <v>18</v>
      </c>
      <c r="X41" s="9">
        <v>35</v>
      </c>
    </row>
    <row r="42" spans="1:24" x14ac:dyDescent="0.25">
      <c r="A42" s="9">
        <v>1070</v>
      </c>
      <c r="B42" s="9">
        <v>924</v>
      </c>
      <c r="C42" s="9">
        <v>1286</v>
      </c>
      <c r="D42" s="9">
        <v>2012</v>
      </c>
      <c r="E42" s="9">
        <v>1994</v>
      </c>
      <c r="F42" s="9">
        <v>1663</v>
      </c>
      <c r="G42" s="9">
        <v>1620</v>
      </c>
      <c r="H42" s="9">
        <v>5815</v>
      </c>
      <c r="I42" s="9">
        <v>1</v>
      </c>
      <c r="J42" s="11">
        <f t="shared" si="3"/>
        <v>1874161</v>
      </c>
      <c r="K42" s="11">
        <f t="shared" si="3"/>
        <v>71289</v>
      </c>
      <c r="L42" s="11">
        <f t="shared" si="3"/>
        <v>77284</v>
      </c>
      <c r="M42" s="9">
        <f t="shared" si="3"/>
        <v>1256641</v>
      </c>
      <c r="N42" s="11">
        <f t="shared" si="3"/>
        <v>1416100</v>
      </c>
      <c r="O42" s="11">
        <f t="shared" si="3"/>
        <v>3493161</v>
      </c>
      <c r="P42" s="11">
        <f t="shared" si="3"/>
        <v>2563201</v>
      </c>
      <c r="Q42" s="11">
        <f t="shared" si="3"/>
        <v>3932289</v>
      </c>
      <c r="R42" s="11">
        <f t="shared" si="1"/>
        <v>14684126</v>
      </c>
      <c r="S42" s="11">
        <f t="shared" si="2"/>
        <v>3831.9872129222977</v>
      </c>
      <c r="T42" s="9">
        <v>24</v>
      </c>
      <c r="U42" s="9" t="s">
        <v>59</v>
      </c>
      <c r="V42" s="9">
        <v>17</v>
      </c>
      <c r="W42" s="9">
        <v>18</v>
      </c>
      <c r="X42" s="9">
        <v>35</v>
      </c>
    </row>
    <row r="43" spans="1:24" x14ac:dyDescent="0.25">
      <c r="A43" t="s">
        <v>28</v>
      </c>
      <c r="J43" s="1"/>
      <c r="K43" s="1"/>
      <c r="L43" s="1"/>
    </row>
    <row r="44" spans="1:24" x14ac:dyDescent="0.25">
      <c r="A44" s="4" t="s">
        <v>43</v>
      </c>
      <c r="B44" s="4" t="s">
        <v>44</v>
      </c>
      <c r="C44" s="4" t="s">
        <v>45</v>
      </c>
      <c r="D44" s="4" t="s">
        <v>46</v>
      </c>
      <c r="E44" s="4" t="s">
        <v>47</v>
      </c>
      <c r="F44" s="4" t="s">
        <v>48</v>
      </c>
      <c r="G44" s="4" t="s">
        <v>49</v>
      </c>
      <c r="H44" s="4" t="s">
        <v>50</v>
      </c>
      <c r="I44" s="4" t="s">
        <v>8</v>
      </c>
      <c r="J44" s="1"/>
      <c r="K44" s="1"/>
      <c r="L44" s="1"/>
    </row>
    <row r="45" spans="1:24" x14ac:dyDescent="0.25">
      <c r="A45" s="2">
        <v>2439</v>
      </c>
      <c r="B45" s="2">
        <v>657</v>
      </c>
      <c r="C45" s="2">
        <v>1008</v>
      </c>
      <c r="D45" s="2">
        <v>891</v>
      </c>
      <c r="E45" s="2">
        <v>804</v>
      </c>
      <c r="F45" s="2">
        <v>3532</v>
      </c>
      <c r="G45" s="2">
        <v>3221</v>
      </c>
      <c r="H45" s="2">
        <v>3832</v>
      </c>
      <c r="I45" s="3">
        <v>0</v>
      </c>
      <c r="J45" s="1"/>
      <c r="K45" s="1"/>
      <c r="L45" s="1"/>
    </row>
    <row r="46" spans="1:24" x14ac:dyDescent="0.25">
      <c r="A46" s="2">
        <v>2439</v>
      </c>
      <c r="B46" s="2">
        <v>657</v>
      </c>
      <c r="C46" s="2">
        <v>1008</v>
      </c>
      <c r="D46" s="2">
        <v>891</v>
      </c>
      <c r="E46" s="2">
        <v>804</v>
      </c>
      <c r="F46" s="2">
        <v>3532</v>
      </c>
      <c r="G46" s="2">
        <v>3221</v>
      </c>
      <c r="H46" s="2">
        <v>3832</v>
      </c>
      <c r="I46" s="3">
        <v>0</v>
      </c>
      <c r="J46" s="1"/>
      <c r="K46" s="1"/>
      <c r="L46" s="1"/>
    </row>
    <row r="47" spans="1:24" x14ac:dyDescent="0.25">
      <c r="A47" s="2">
        <v>2439</v>
      </c>
      <c r="B47" s="2">
        <v>657</v>
      </c>
      <c r="C47" s="2">
        <v>1008</v>
      </c>
      <c r="D47" s="2">
        <v>891</v>
      </c>
      <c r="E47" s="2">
        <v>804</v>
      </c>
      <c r="F47" s="2">
        <v>3532</v>
      </c>
      <c r="G47" s="2">
        <v>3221</v>
      </c>
      <c r="H47" s="2">
        <v>3832</v>
      </c>
      <c r="I47" s="3">
        <v>0</v>
      </c>
      <c r="J47" s="1"/>
      <c r="K47" s="1"/>
      <c r="L47" s="1"/>
    </row>
    <row r="48" spans="1:24" x14ac:dyDescent="0.25">
      <c r="A48" s="2">
        <v>2439</v>
      </c>
      <c r="B48" s="2">
        <v>657</v>
      </c>
      <c r="C48" s="2">
        <v>1008</v>
      </c>
      <c r="D48" s="2">
        <v>891</v>
      </c>
      <c r="E48" s="2">
        <v>804</v>
      </c>
      <c r="F48" s="2">
        <v>3532</v>
      </c>
      <c r="G48" s="2">
        <v>3221</v>
      </c>
      <c r="H48" s="2">
        <v>3832</v>
      </c>
      <c r="I48" s="3">
        <v>0</v>
      </c>
      <c r="J48" s="1"/>
      <c r="K48" s="1"/>
      <c r="L48" s="1"/>
    </row>
    <row r="49" spans="1:12" x14ac:dyDescent="0.25">
      <c r="A49" s="2">
        <v>2439</v>
      </c>
      <c r="B49" s="2">
        <v>657</v>
      </c>
      <c r="C49" s="2">
        <v>1008</v>
      </c>
      <c r="D49" s="2">
        <v>891</v>
      </c>
      <c r="E49" s="2">
        <v>804</v>
      </c>
      <c r="F49" s="2">
        <v>3532</v>
      </c>
      <c r="G49" s="2">
        <v>3221</v>
      </c>
      <c r="H49" s="2">
        <v>3832</v>
      </c>
      <c r="I49" s="3">
        <v>0</v>
      </c>
      <c r="J49" s="1"/>
      <c r="K49" s="1"/>
      <c r="L49" s="1"/>
    </row>
    <row r="50" spans="1:12" x14ac:dyDescent="0.25">
      <c r="A50" s="2">
        <v>2439</v>
      </c>
      <c r="B50" s="2">
        <v>657</v>
      </c>
      <c r="C50" s="2">
        <v>1008</v>
      </c>
      <c r="D50" s="2">
        <v>891</v>
      </c>
      <c r="E50" s="2">
        <v>804</v>
      </c>
      <c r="F50" s="2">
        <v>3532</v>
      </c>
      <c r="G50" s="2">
        <v>3221</v>
      </c>
      <c r="H50" s="2">
        <v>3832</v>
      </c>
      <c r="I50" s="3">
        <v>0</v>
      </c>
      <c r="J50" s="1"/>
      <c r="K50" s="1"/>
      <c r="L50" s="1"/>
    </row>
    <row r="51" spans="1:12" x14ac:dyDescent="0.25">
      <c r="A51" s="2">
        <v>2439</v>
      </c>
      <c r="B51" s="2">
        <v>657</v>
      </c>
      <c r="C51" s="2">
        <v>1008</v>
      </c>
      <c r="D51" s="2">
        <v>891</v>
      </c>
      <c r="E51" s="2">
        <v>804</v>
      </c>
      <c r="F51" s="2">
        <v>3532</v>
      </c>
      <c r="G51" s="2">
        <v>3221</v>
      </c>
      <c r="H51" s="2">
        <v>3832</v>
      </c>
      <c r="I51" s="3">
        <v>0</v>
      </c>
      <c r="J51" s="1"/>
      <c r="K51" s="1"/>
      <c r="L51" s="1"/>
    </row>
    <row r="52" spans="1:12" x14ac:dyDescent="0.25">
      <c r="A52" s="2">
        <v>2439</v>
      </c>
      <c r="B52" s="2">
        <v>657</v>
      </c>
      <c r="C52" s="2">
        <v>1008</v>
      </c>
      <c r="D52" s="2">
        <v>891</v>
      </c>
      <c r="E52" s="2">
        <v>804</v>
      </c>
      <c r="F52" s="2">
        <v>3532</v>
      </c>
      <c r="G52" s="2">
        <v>3221</v>
      </c>
      <c r="H52" s="2">
        <v>3832</v>
      </c>
      <c r="I52" s="3">
        <v>0</v>
      </c>
      <c r="J52" s="1"/>
      <c r="K52" s="1"/>
      <c r="L52" s="1"/>
    </row>
    <row r="53" spans="1:12" x14ac:dyDescent="0.25">
      <c r="A53" s="2">
        <v>2439</v>
      </c>
      <c r="B53" s="2">
        <v>657</v>
      </c>
      <c r="C53" s="2">
        <v>1008</v>
      </c>
      <c r="D53" s="2">
        <v>891</v>
      </c>
      <c r="E53" s="2">
        <v>804</v>
      </c>
      <c r="F53" s="2">
        <v>3532</v>
      </c>
      <c r="G53" s="2">
        <v>3221</v>
      </c>
      <c r="H53" s="2">
        <v>3832</v>
      </c>
      <c r="I53" s="3">
        <v>0</v>
      </c>
      <c r="J53" s="1"/>
      <c r="K53" s="1"/>
      <c r="L53" s="1"/>
    </row>
    <row r="54" spans="1:12" x14ac:dyDescent="0.25">
      <c r="A54" s="2">
        <v>2439</v>
      </c>
      <c r="B54" s="2">
        <v>657</v>
      </c>
      <c r="C54" s="2">
        <v>1008</v>
      </c>
      <c r="D54" s="2">
        <v>891</v>
      </c>
      <c r="E54" s="2">
        <v>804</v>
      </c>
      <c r="F54" s="2">
        <v>3532</v>
      </c>
      <c r="G54" s="2">
        <v>3221</v>
      </c>
      <c r="H54" s="2">
        <v>3832</v>
      </c>
      <c r="I54" s="3">
        <v>0</v>
      </c>
      <c r="J54" s="1"/>
      <c r="K54" s="1"/>
      <c r="L54" s="1"/>
    </row>
    <row r="55" spans="1:12" x14ac:dyDescent="0.25">
      <c r="A55" s="2">
        <v>2439</v>
      </c>
      <c r="B55" s="2">
        <v>657</v>
      </c>
      <c r="C55" s="2">
        <v>1008</v>
      </c>
      <c r="D55" s="2">
        <v>891</v>
      </c>
      <c r="E55" s="2">
        <v>804</v>
      </c>
      <c r="F55" s="2">
        <v>3532</v>
      </c>
      <c r="G55" s="2">
        <v>3221</v>
      </c>
      <c r="H55" s="2">
        <v>3832</v>
      </c>
      <c r="I55" s="3">
        <v>0</v>
      </c>
      <c r="J55" s="1"/>
      <c r="K55" s="1"/>
      <c r="L55" s="1"/>
    </row>
    <row r="56" spans="1:12" x14ac:dyDescent="0.25">
      <c r="A56" s="2">
        <v>2439</v>
      </c>
      <c r="B56" s="2">
        <v>657</v>
      </c>
      <c r="C56" s="2">
        <v>1008</v>
      </c>
      <c r="D56" s="2">
        <v>891</v>
      </c>
      <c r="E56" s="2">
        <v>804</v>
      </c>
      <c r="F56" s="2">
        <v>3532</v>
      </c>
      <c r="G56" s="2">
        <v>3221</v>
      </c>
      <c r="H56" s="2">
        <v>3832</v>
      </c>
      <c r="I56" s="3">
        <v>0</v>
      </c>
      <c r="J56" s="1"/>
      <c r="K56" s="1"/>
      <c r="L56" s="1"/>
    </row>
    <row r="57" spans="1:12" x14ac:dyDescent="0.25">
      <c r="A57" s="2">
        <v>2439</v>
      </c>
      <c r="B57" s="2">
        <v>657</v>
      </c>
      <c r="C57" s="2">
        <v>1008</v>
      </c>
      <c r="D57" s="2">
        <v>891</v>
      </c>
      <c r="E57" s="2">
        <v>804</v>
      </c>
      <c r="F57" s="2">
        <v>3532</v>
      </c>
      <c r="G57" s="2">
        <v>3221</v>
      </c>
      <c r="H57" s="2">
        <v>3832</v>
      </c>
      <c r="I57" s="3">
        <v>0</v>
      </c>
      <c r="J57" s="1"/>
      <c r="K57" s="1"/>
      <c r="L57" s="1"/>
    </row>
    <row r="58" spans="1:12" x14ac:dyDescent="0.25">
      <c r="A58" s="2">
        <v>2439</v>
      </c>
      <c r="B58" s="2">
        <v>657</v>
      </c>
      <c r="C58" s="2">
        <v>1008</v>
      </c>
      <c r="D58" s="2">
        <v>891</v>
      </c>
      <c r="E58" s="2">
        <v>804</v>
      </c>
      <c r="F58" s="2">
        <v>3532</v>
      </c>
      <c r="G58" s="2">
        <v>3221</v>
      </c>
      <c r="H58" s="2">
        <v>3832</v>
      </c>
      <c r="I58" s="3">
        <v>0</v>
      </c>
      <c r="J58" s="1"/>
      <c r="K58" s="1"/>
      <c r="L58" s="1"/>
    </row>
    <row r="59" spans="1:12" x14ac:dyDescent="0.25">
      <c r="A59" s="2">
        <v>2439</v>
      </c>
      <c r="B59" s="2">
        <v>657</v>
      </c>
      <c r="C59" s="2">
        <v>1008</v>
      </c>
      <c r="D59" s="2">
        <v>891</v>
      </c>
      <c r="E59" s="2">
        <v>804</v>
      </c>
      <c r="F59" s="2">
        <v>3532</v>
      </c>
      <c r="G59" s="2">
        <v>3221</v>
      </c>
      <c r="H59" s="2">
        <v>3832</v>
      </c>
      <c r="I59" s="3">
        <v>0</v>
      </c>
      <c r="J59" s="1"/>
      <c r="K59" s="1"/>
      <c r="L59" s="1"/>
    </row>
    <row r="60" spans="1:12" x14ac:dyDescent="0.25">
      <c r="A60" s="2">
        <v>2439</v>
      </c>
      <c r="B60" s="2">
        <v>657</v>
      </c>
      <c r="C60" s="2">
        <v>1008</v>
      </c>
      <c r="D60" s="2">
        <v>891</v>
      </c>
      <c r="E60" s="2">
        <v>804</v>
      </c>
      <c r="F60" s="2">
        <v>3532</v>
      </c>
      <c r="G60" s="2">
        <v>3221</v>
      </c>
      <c r="H60" s="2">
        <v>3832</v>
      </c>
      <c r="I60" s="3">
        <v>0</v>
      </c>
      <c r="J60" s="1"/>
      <c r="K60" s="1"/>
      <c r="L60" s="1"/>
    </row>
    <row r="61" spans="1:12" x14ac:dyDescent="0.25">
      <c r="A61" s="2">
        <v>2439</v>
      </c>
      <c r="B61" s="2">
        <v>657</v>
      </c>
      <c r="C61" s="2">
        <v>1008</v>
      </c>
      <c r="D61" s="2">
        <v>891</v>
      </c>
      <c r="E61" s="2">
        <v>804</v>
      </c>
      <c r="F61" s="2">
        <v>3532</v>
      </c>
      <c r="G61" s="2">
        <v>3221</v>
      </c>
      <c r="H61" s="2">
        <v>3832</v>
      </c>
      <c r="I61" s="3">
        <v>0</v>
      </c>
      <c r="J61" s="1"/>
      <c r="K61" s="1"/>
      <c r="L61" s="1"/>
    </row>
    <row r="62" spans="1:12" x14ac:dyDescent="0.25">
      <c r="A62" s="2">
        <v>2439</v>
      </c>
      <c r="B62" s="2">
        <v>657</v>
      </c>
      <c r="C62" s="2">
        <v>1008</v>
      </c>
      <c r="D62" s="2">
        <v>891</v>
      </c>
      <c r="E62" s="2">
        <v>804</v>
      </c>
      <c r="F62" s="2">
        <v>3532</v>
      </c>
      <c r="G62" s="2">
        <v>3221</v>
      </c>
      <c r="H62" s="2">
        <v>3832</v>
      </c>
      <c r="I62" s="3">
        <v>0</v>
      </c>
      <c r="J62" s="1"/>
      <c r="K62" s="1"/>
      <c r="L62" s="1"/>
    </row>
    <row r="63" spans="1:12" x14ac:dyDescent="0.25">
      <c r="A63" s="2">
        <v>2439</v>
      </c>
      <c r="B63" s="2">
        <v>657</v>
      </c>
      <c r="C63" s="2">
        <v>1008</v>
      </c>
      <c r="D63" s="2">
        <v>891</v>
      </c>
      <c r="E63" s="2">
        <v>804</v>
      </c>
      <c r="F63" s="2">
        <v>3532</v>
      </c>
      <c r="G63" s="2">
        <v>3221</v>
      </c>
      <c r="H63" s="2">
        <v>3832</v>
      </c>
      <c r="I63" s="3">
        <v>0</v>
      </c>
      <c r="J63" s="1"/>
      <c r="K63" s="1"/>
      <c r="L63" s="1"/>
    </row>
    <row r="64" spans="1:12" x14ac:dyDescent="0.25">
      <c r="A64" s="2">
        <v>2439</v>
      </c>
      <c r="B64" s="2">
        <v>657</v>
      </c>
      <c r="C64" s="2">
        <v>1008</v>
      </c>
      <c r="D64" s="2">
        <v>891</v>
      </c>
      <c r="E64" s="2">
        <v>804</v>
      </c>
      <c r="F64" s="2">
        <v>3532</v>
      </c>
      <c r="G64" s="2">
        <v>3221</v>
      </c>
      <c r="H64" s="2">
        <v>3832</v>
      </c>
      <c r="I64" s="3">
        <v>0</v>
      </c>
      <c r="J64" s="1"/>
      <c r="K64" s="1"/>
      <c r="L64" s="1"/>
    </row>
    <row r="65" spans="1:12" x14ac:dyDescent="0.25">
      <c r="A65" s="2">
        <v>2439</v>
      </c>
      <c r="B65" s="2">
        <v>657</v>
      </c>
      <c r="C65" s="2">
        <v>1008</v>
      </c>
      <c r="D65" s="2">
        <v>891</v>
      </c>
      <c r="E65" s="2">
        <v>804</v>
      </c>
      <c r="F65" s="2">
        <v>3532</v>
      </c>
      <c r="G65" s="2">
        <v>3221</v>
      </c>
      <c r="H65" s="2">
        <v>3832</v>
      </c>
      <c r="I65" s="3">
        <v>0</v>
      </c>
      <c r="J65" s="1"/>
      <c r="K65" s="1"/>
      <c r="L65" s="1"/>
    </row>
    <row r="66" spans="1:12" x14ac:dyDescent="0.25">
      <c r="A66" s="2">
        <v>2439</v>
      </c>
      <c r="B66" s="2">
        <v>657</v>
      </c>
      <c r="C66" s="2">
        <v>1008</v>
      </c>
      <c r="D66" s="2">
        <v>891</v>
      </c>
      <c r="E66" s="2">
        <v>804</v>
      </c>
      <c r="F66" s="2">
        <v>3532</v>
      </c>
      <c r="G66" s="2">
        <v>3221</v>
      </c>
      <c r="H66" s="2">
        <v>3832</v>
      </c>
      <c r="I66" s="3">
        <v>0</v>
      </c>
      <c r="J66" s="1"/>
      <c r="K66" s="1"/>
      <c r="L66" s="1"/>
    </row>
    <row r="67" spans="1:12" x14ac:dyDescent="0.25">
      <c r="A67" s="2">
        <v>2439</v>
      </c>
      <c r="B67" s="2">
        <v>657</v>
      </c>
      <c r="C67" s="2">
        <v>1008</v>
      </c>
      <c r="D67" s="2">
        <v>891</v>
      </c>
      <c r="E67" s="2">
        <v>804</v>
      </c>
      <c r="F67" s="2">
        <v>3532</v>
      </c>
      <c r="G67" s="2">
        <v>3221</v>
      </c>
      <c r="H67" s="2">
        <v>3832</v>
      </c>
      <c r="I67" s="3">
        <v>0</v>
      </c>
      <c r="J67" s="1"/>
      <c r="K67" s="1"/>
      <c r="L67" s="1"/>
    </row>
    <row r="68" spans="1:12" x14ac:dyDescent="0.25">
      <c r="A68" s="2">
        <v>2439</v>
      </c>
      <c r="B68" s="2">
        <v>657</v>
      </c>
      <c r="C68" s="2">
        <v>1008</v>
      </c>
      <c r="D68" s="2">
        <v>891</v>
      </c>
      <c r="E68" s="2">
        <v>804</v>
      </c>
      <c r="F68" s="2">
        <v>3532</v>
      </c>
      <c r="G68" s="2">
        <v>3221</v>
      </c>
      <c r="H68" s="2">
        <v>3832</v>
      </c>
      <c r="I68" s="3">
        <v>0</v>
      </c>
      <c r="J68" s="1"/>
      <c r="K68" s="1"/>
      <c r="L68" s="1"/>
    </row>
    <row r="69" spans="1:12" x14ac:dyDescent="0.25">
      <c r="A69" s="2">
        <v>2439</v>
      </c>
      <c r="B69" s="2">
        <v>657</v>
      </c>
      <c r="C69" s="2">
        <v>1008</v>
      </c>
      <c r="D69" s="2">
        <v>891</v>
      </c>
      <c r="E69" s="2">
        <v>804</v>
      </c>
      <c r="F69" s="2">
        <v>3532</v>
      </c>
      <c r="G69" s="2">
        <v>3221</v>
      </c>
      <c r="H69" s="2">
        <v>3832</v>
      </c>
      <c r="I69" s="3">
        <v>0</v>
      </c>
      <c r="J69" s="1"/>
      <c r="K69" s="1"/>
      <c r="L69" s="1"/>
    </row>
    <row r="70" spans="1:12" x14ac:dyDescent="0.25">
      <c r="A70" s="2">
        <v>2439</v>
      </c>
      <c r="B70" s="2">
        <v>657</v>
      </c>
      <c r="C70" s="2">
        <v>1008</v>
      </c>
      <c r="D70" s="2">
        <v>891</v>
      </c>
      <c r="E70" s="2">
        <v>804</v>
      </c>
      <c r="F70" s="2">
        <v>3532</v>
      </c>
      <c r="G70" s="2">
        <v>3221</v>
      </c>
      <c r="H70" s="2">
        <v>3832</v>
      </c>
      <c r="I70" s="3">
        <v>0</v>
      </c>
      <c r="J70" s="1"/>
      <c r="K70" s="1"/>
      <c r="L70" s="1"/>
    </row>
    <row r="71" spans="1:12" x14ac:dyDescent="0.25">
      <c r="A71" s="2">
        <v>2439</v>
      </c>
      <c r="B71" s="2">
        <v>657</v>
      </c>
      <c r="C71" s="2">
        <v>1008</v>
      </c>
      <c r="D71" s="2">
        <v>891</v>
      </c>
      <c r="E71" s="2">
        <v>804</v>
      </c>
      <c r="F71" s="2">
        <v>3532</v>
      </c>
      <c r="G71" s="2">
        <v>3221</v>
      </c>
      <c r="H71" s="2">
        <v>3832</v>
      </c>
      <c r="I71" s="3">
        <v>0</v>
      </c>
      <c r="J71" s="1"/>
      <c r="K71" s="1"/>
      <c r="L71" s="1"/>
    </row>
    <row r="72" spans="1:12" x14ac:dyDescent="0.25">
      <c r="A72" s="2">
        <v>2439</v>
      </c>
      <c r="B72" s="2">
        <v>657</v>
      </c>
      <c r="C72" s="2">
        <v>1008</v>
      </c>
      <c r="D72" s="2">
        <v>891</v>
      </c>
      <c r="E72" s="2">
        <v>804</v>
      </c>
      <c r="F72" s="2">
        <v>3532</v>
      </c>
      <c r="G72" s="2">
        <v>3221</v>
      </c>
      <c r="H72" s="2">
        <v>3832</v>
      </c>
      <c r="I72" s="3">
        <v>0</v>
      </c>
      <c r="J72" s="1"/>
      <c r="K72" s="1"/>
      <c r="L72" s="1"/>
    </row>
    <row r="73" spans="1:12" x14ac:dyDescent="0.25">
      <c r="A73" s="2">
        <v>2439</v>
      </c>
      <c r="B73" s="2">
        <v>657</v>
      </c>
      <c r="C73" s="2">
        <v>1008</v>
      </c>
      <c r="D73" s="2">
        <v>891</v>
      </c>
      <c r="E73" s="2">
        <v>804</v>
      </c>
      <c r="F73" s="2">
        <v>3532</v>
      </c>
      <c r="G73" s="2">
        <v>3221</v>
      </c>
      <c r="H73" s="2">
        <v>3832</v>
      </c>
      <c r="I73" s="3">
        <v>0</v>
      </c>
      <c r="J73" s="1"/>
      <c r="K73" s="1"/>
      <c r="L73" s="1"/>
    </row>
    <row r="74" spans="1:12" x14ac:dyDescent="0.25">
      <c r="A74" s="2">
        <v>2439</v>
      </c>
      <c r="B74" s="2">
        <v>657</v>
      </c>
      <c r="C74" s="2">
        <v>1008</v>
      </c>
      <c r="D74" s="2">
        <v>891</v>
      </c>
      <c r="E74" s="2">
        <v>804</v>
      </c>
      <c r="F74" s="2">
        <v>3532</v>
      </c>
      <c r="G74" s="2">
        <v>3221</v>
      </c>
      <c r="H74" s="2">
        <v>3832</v>
      </c>
      <c r="I74" s="3">
        <v>0</v>
      </c>
      <c r="J74" s="1"/>
      <c r="K74" s="1"/>
      <c r="L74" s="1"/>
    </row>
    <row r="75" spans="1:12" x14ac:dyDescent="0.25">
      <c r="A75" s="2">
        <v>2439</v>
      </c>
      <c r="B75" s="2">
        <v>657</v>
      </c>
      <c r="C75" s="2">
        <v>1008</v>
      </c>
      <c r="D75" s="2">
        <v>891</v>
      </c>
      <c r="E75" s="2">
        <v>804</v>
      </c>
      <c r="F75" s="2">
        <v>3532</v>
      </c>
      <c r="G75" s="2">
        <v>3221</v>
      </c>
      <c r="H75" s="2">
        <v>3832</v>
      </c>
      <c r="I75" s="3">
        <v>0</v>
      </c>
      <c r="J75" s="1"/>
      <c r="K75" s="1"/>
      <c r="L75" s="1"/>
    </row>
    <row r="76" spans="1:12" x14ac:dyDescent="0.25">
      <c r="A76" s="2">
        <v>2439</v>
      </c>
      <c r="B76" s="2">
        <v>657</v>
      </c>
      <c r="C76" s="2">
        <v>1008</v>
      </c>
      <c r="D76" s="2">
        <v>891</v>
      </c>
      <c r="E76" s="2">
        <v>804</v>
      </c>
      <c r="F76" s="2">
        <v>3532</v>
      </c>
      <c r="G76" s="2">
        <v>3221</v>
      </c>
      <c r="H76" s="2">
        <v>3832</v>
      </c>
      <c r="I76" s="3">
        <v>0</v>
      </c>
      <c r="J76" s="1"/>
      <c r="K76" s="1"/>
      <c r="L76" s="1"/>
    </row>
    <row r="77" spans="1:12" x14ac:dyDescent="0.25">
      <c r="A77" s="2">
        <v>2439</v>
      </c>
      <c r="B77" s="2">
        <v>657</v>
      </c>
      <c r="C77" s="2">
        <v>1008</v>
      </c>
      <c r="D77" s="2">
        <v>891</v>
      </c>
      <c r="E77" s="2">
        <v>804</v>
      </c>
      <c r="F77" s="2">
        <v>3532</v>
      </c>
      <c r="G77" s="2">
        <v>3221</v>
      </c>
      <c r="H77" s="2">
        <v>3832</v>
      </c>
      <c r="I77" s="3">
        <v>0</v>
      </c>
      <c r="J77" s="1"/>
      <c r="K77" s="1"/>
      <c r="L77" s="1"/>
    </row>
    <row r="78" spans="1:12" x14ac:dyDescent="0.25">
      <c r="A78" s="2">
        <v>2439</v>
      </c>
      <c r="B78" s="2">
        <v>657</v>
      </c>
      <c r="C78" s="2">
        <v>1008</v>
      </c>
      <c r="D78" s="2">
        <v>891</v>
      </c>
      <c r="E78" s="2">
        <v>804</v>
      </c>
      <c r="F78" s="2">
        <v>3532</v>
      </c>
      <c r="G78" s="2">
        <v>3221</v>
      </c>
      <c r="H78" s="2">
        <v>3832</v>
      </c>
      <c r="I78" s="3">
        <v>0</v>
      </c>
      <c r="J78" s="1"/>
      <c r="K78" s="1"/>
      <c r="L78" s="1"/>
    </row>
    <row r="79" spans="1:12" x14ac:dyDescent="0.25">
      <c r="A79" s="2">
        <v>2439</v>
      </c>
      <c r="B79" s="2">
        <v>657</v>
      </c>
      <c r="C79" s="2">
        <v>1008</v>
      </c>
      <c r="D79" s="2">
        <v>891</v>
      </c>
      <c r="E79" s="2">
        <v>804</v>
      </c>
      <c r="F79" s="2">
        <v>3532</v>
      </c>
      <c r="G79" s="2">
        <v>3221</v>
      </c>
      <c r="H79" s="2">
        <v>3832</v>
      </c>
      <c r="I79" s="3">
        <v>0</v>
      </c>
      <c r="J79" s="1"/>
      <c r="K79" s="1"/>
      <c r="L79" s="1"/>
    </row>
    <row r="80" spans="1:12" x14ac:dyDescent="0.25">
      <c r="A80" s="2">
        <v>2439</v>
      </c>
      <c r="B80" s="2">
        <v>657</v>
      </c>
      <c r="C80" s="2">
        <v>1008</v>
      </c>
      <c r="D80" s="2">
        <v>891</v>
      </c>
      <c r="E80" s="2">
        <v>804</v>
      </c>
      <c r="F80" s="2">
        <v>3532</v>
      </c>
      <c r="G80" s="2">
        <v>3221</v>
      </c>
      <c r="H80" s="2">
        <v>3832</v>
      </c>
      <c r="I80" s="3">
        <v>0</v>
      </c>
      <c r="J80" s="1"/>
      <c r="K80" s="1"/>
      <c r="L80" s="1"/>
    </row>
    <row r="81" spans="1:12" x14ac:dyDescent="0.25">
      <c r="A81" s="2">
        <v>2439</v>
      </c>
      <c r="B81" s="2">
        <v>657</v>
      </c>
      <c r="C81" s="2">
        <v>1008</v>
      </c>
      <c r="D81" s="2">
        <v>891</v>
      </c>
      <c r="E81" s="2">
        <v>804</v>
      </c>
      <c r="F81" s="2">
        <v>3532</v>
      </c>
      <c r="G81" s="2">
        <v>3221</v>
      </c>
      <c r="H81" s="2">
        <v>3832</v>
      </c>
      <c r="I81" s="3">
        <v>0</v>
      </c>
      <c r="J81" s="1"/>
      <c r="K81" s="1"/>
      <c r="L81" s="1"/>
    </row>
    <row r="82" spans="1:12" x14ac:dyDescent="0.25">
      <c r="A82" s="2">
        <v>2439</v>
      </c>
      <c r="B82" s="2">
        <v>657</v>
      </c>
      <c r="C82" s="2">
        <v>1008</v>
      </c>
      <c r="D82" s="2">
        <v>891</v>
      </c>
      <c r="E82" s="2">
        <v>804</v>
      </c>
      <c r="F82" s="2">
        <v>3532</v>
      </c>
      <c r="G82" s="2">
        <v>3221</v>
      </c>
      <c r="H82" s="2">
        <v>3832</v>
      </c>
      <c r="I82" s="3">
        <v>0</v>
      </c>
      <c r="J82" s="1"/>
      <c r="K82" s="1"/>
      <c r="L82" s="1"/>
    </row>
    <row r="83" spans="1:12" x14ac:dyDescent="0.25">
      <c r="A83" s="2">
        <v>2439</v>
      </c>
      <c r="B83" s="2">
        <v>657</v>
      </c>
      <c r="C83" s="2">
        <v>1008</v>
      </c>
      <c r="D83" s="2">
        <v>891</v>
      </c>
      <c r="E83" s="2">
        <v>804</v>
      </c>
      <c r="F83" s="2">
        <v>3532</v>
      </c>
      <c r="G83" s="2">
        <v>3221</v>
      </c>
      <c r="H83" s="2">
        <v>3832</v>
      </c>
      <c r="I83" s="3">
        <v>0</v>
      </c>
      <c r="J83" s="1"/>
      <c r="K83" s="1"/>
      <c r="L83" s="1"/>
    </row>
    <row r="84" spans="1:12" x14ac:dyDescent="0.25">
      <c r="A84" s="2">
        <v>2439</v>
      </c>
      <c r="B84" s="2">
        <v>657</v>
      </c>
      <c r="C84" s="2">
        <v>1008</v>
      </c>
      <c r="D84" s="2">
        <v>891</v>
      </c>
      <c r="E84" s="2">
        <v>804</v>
      </c>
      <c r="F84" s="2">
        <v>3532</v>
      </c>
      <c r="G84" s="2">
        <v>3221</v>
      </c>
      <c r="H84" s="2">
        <v>3832</v>
      </c>
      <c r="I84" s="3">
        <v>0</v>
      </c>
      <c r="J84" s="1"/>
      <c r="K84" s="1"/>
      <c r="L8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F6CE-767C-4AD5-AC79-DB414C3110DD}">
  <dimension ref="A1:X84"/>
  <sheetViews>
    <sheetView zoomScale="70" zoomScaleNormal="70" workbookViewId="0"/>
  </sheetViews>
  <sheetFormatPr defaultRowHeight="15" x14ac:dyDescent="0.25"/>
  <cols>
    <col min="13" max="13" width="9" bestFit="1" customWidth="1"/>
  </cols>
  <sheetData>
    <row r="1" spans="1:24" x14ac:dyDescent="0.25">
      <c r="A1" t="s">
        <v>29</v>
      </c>
      <c r="J1" s="1"/>
      <c r="K1" s="1"/>
      <c r="L1" s="1"/>
    </row>
    <row r="2" spans="1:24" x14ac:dyDescent="0.25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15</v>
      </c>
      <c r="T2" s="14" t="s">
        <v>9</v>
      </c>
      <c r="U2" s="14" t="s">
        <v>55</v>
      </c>
      <c r="V2" s="14" t="s">
        <v>56</v>
      </c>
      <c r="W2" s="14" t="s">
        <v>57</v>
      </c>
      <c r="X2" s="14" t="s">
        <v>58</v>
      </c>
    </row>
    <row r="3" spans="1:24" x14ac:dyDescent="0.25">
      <c r="A3" s="8">
        <v>0.45500000000000002</v>
      </c>
      <c r="B3" s="8">
        <v>0.13900000000000001</v>
      </c>
      <c r="C3" s="8">
        <v>0.13700000000000001</v>
      </c>
      <c r="D3" s="8">
        <v>6.3E-2</v>
      </c>
      <c r="E3" s="8">
        <v>3.5999999999999997E-2</v>
      </c>
      <c r="F3" s="8">
        <v>3.5000000000000003E-2</v>
      </c>
      <c r="G3" s="8">
        <v>2.5000000000000001E-2</v>
      </c>
      <c r="H3" s="8">
        <v>1.2999999999999999E-2</v>
      </c>
      <c r="I3" s="8">
        <v>0</v>
      </c>
      <c r="J3" s="10">
        <f t="shared" ref="J3:Q18" si="0">SUMSQ(A3-A45)</f>
        <v>4.0959999999999998E-3</v>
      </c>
      <c r="K3" s="10">
        <f t="shared" si="0"/>
        <v>2.4999999999999767E-5</v>
      </c>
      <c r="L3" s="10">
        <f t="shared" si="0"/>
        <v>4.0000000000000018E-4</v>
      </c>
      <c r="M3" s="8">
        <f t="shared" si="0"/>
        <v>0</v>
      </c>
      <c r="N3" s="10">
        <f t="shared" si="0"/>
        <v>1.0000000000000019E-6</v>
      </c>
      <c r="O3" s="10">
        <f t="shared" si="0"/>
        <v>1.2100000000000007E-4</v>
      </c>
      <c r="P3" s="10">
        <f t="shared" si="0"/>
        <v>2.5000000000000011E-5</v>
      </c>
      <c r="Q3" s="10">
        <f t="shared" si="0"/>
        <v>1.0000000000000019E-6</v>
      </c>
      <c r="R3" s="10">
        <f>SUM(J3:Q3)</f>
        <v>4.6690000000000004E-3</v>
      </c>
      <c r="S3" s="10">
        <f>SQRT(R3)</f>
        <v>6.8330081223426042E-2</v>
      </c>
      <c r="T3" s="8">
        <v>1</v>
      </c>
      <c r="U3" s="8" t="s">
        <v>59</v>
      </c>
      <c r="V3" s="8">
        <v>19</v>
      </c>
      <c r="W3" s="8">
        <v>16</v>
      </c>
      <c r="X3" s="8">
        <v>35</v>
      </c>
    </row>
    <row r="4" spans="1:24" x14ac:dyDescent="0.25">
      <c r="A4" s="8">
        <v>0.49399999999999999</v>
      </c>
      <c r="B4" s="8">
        <v>0.13400000000000001</v>
      </c>
      <c r="C4" s="8">
        <v>0.11799999999999999</v>
      </c>
      <c r="D4" s="8">
        <v>0.09</v>
      </c>
      <c r="E4" s="8">
        <v>5.5E-2</v>
      </c>
      <c r="F4" s="8">
        <v>2.5000000000000001E-2</v>
      </c>
      <c r="G4" s="8">
        <v>1.4999999999999999E-2</v>
      </c>
      <c r="H4" s="8">
        <v>1.0999999999999999E-2</v>
      </c>
      <c r="I4" s="8">
        <v>0</v>
      </c>
      <c r="J4" s="10">
        <f t="shared" si="0"/>
        <v>6.250000000000011E-4</v>
      </c>
      <c r="K4" s="10">
        <f t="shared" si="0"/>
        <v>9.9999999999999625E-5</v>
      </c>
      <c r="L4" s="10">
        <f t="shared" si="0"/>
        <v>9.9999999999997412E-7</v>
      </c>
      <c r="M4" s="8">
        <f t="shared" si="0"/>
        <v>7.2899999999999983E-4</v>
      </c>
      <c r="N4" s="10">
        <f t="shared" si="0"/>
        <v>3.2400000000000007E-4</v>
      </c>
      <c r="O4" s="10">
        <f t="shared" si="0"/>
        <v>1.0000000000000019E-6</v>
      </c>
      <c r="P4" s="10">
        <f t="shared" si="0"/>
        <v>2.5000000000000011E-5</v>
      </c>
      <c r="Q4" s="10">
        <f t="shared" si="0"/>
        <v>9.0000000000000053E-6</v>
      </c>
      <c r="R4" s="10">
        <f t="shared" ref="R4:R42" si="1">SUM(J4:Q4)</f>
        <v>1.8140000000000007E-3</v>
      </c>
      <c r="S4" s="10">
        <f t="shared" ref="S4:S42" si="2">SQRT(R4)</f>
        <v>4.2591078878093713E-2</v>
      </c>
      <c r="T4" s="8">
        <v>33</v>
      </c>
      <c r="U4" s="8" t="s">
        <v>59</v>
      </c>
      <c r="V4" s="8">
        <v>19</v>
      </c>
      <c r="W4" s="8">
        <v>16</v>
      </c>
      <c r="X4" s="8">
        <v>35</v>
      </c>
    </row>
    <row r="5" spans="1:24" x14ac:dyDescent="0.25">
      <c r="A5" s="2">
        <v>0.45300000000000001</v>
      </c>
      <c r="B5" s="2">
        <v>0.184</v>
      </c>
      <c r="C5" s="2">
        <v>0.128</v>
      </c>
      <c r="D5" s="2">
        <v>0.10100000000000001</v>
      </c>
      <c r="E5" s="2">
        <v>2.9000000000000001E-2</v>
      </c>
      <c r="F5" s="2">
        <v>2.1999999999999999E-2</v>
      </c>
      <c r="G5" s="2">
        <v>1.4999999999999999E-2</v>
      </c>
      <c r="H5" s="2">
        <v>1.0999999999999999E-2</v>
      </c>
      <c r="I5" s="2">
        <v>0</v>
      </c>
      <c r="J5" s="7">
        <f t="shared" si="0"/>
        <v>4.3560000000000005E-3</v>
      </c>
      <c r="K5" s="7">
        <f t="shared" si="0"/>
        <v>1.6000000000000007E-3</v>
      </c>
      <c r="L5" s="7">
        <f t="shared" si="0"/>
        <v>1.2099999999999991E-4</v>
      </c>
      <c r="M5" s="2">
        <f t="shared" si="0"/>
        <v>1.4440000000000004E-3</v>
      </c>
      <c r="N5" s="7">
        <f t="shared" si="0"/>
        <v>6.3999999999999943E-5</v>
      </c>
      <c r="O5" s="7">
        <f t="shared" si="0"/>
        <v>4.0000000000000074E-6</v>
      </c>
      <c r="P5" s="7">
        <f t="shared" si="0"/>
        <v>2.5000000000000011E-5</v>
      </c>
      <c r="Q5" s="7">
        <f t="shared" si="0"/>
        <v>9.0000000000000053E-6</v>
      </c>
      <c r="R5" s="7">
        <f t="shared" si="1"/>
        <v>7.6230000000000013E-3</v>
      </c>
      <c r="S5" s="7">
        <f t="shared" si="2"/>
        <v>8.7309793265131497E-2</v>
      </c>
      <c r="T5" s="2">
        <v>38</v>
      </c>
      <c r="U5" s="2" t="s">
        <v>60</v>
      </c>
      <c r="V5" s="2">
        <v>19</v>
      </c>
      <c r="W5" s="2">
        <v>16</v>
      </c>
      <c r="X5" s="2">
        <v>35</v>
      </c>
    </row>
    <row r="6" spans="1:24" x14ac:dyDescent="0.25">
      <c r="A6" s="8">
        <v>0.436</v>
      </c>
      <c r="B6" s="8">
        <v>0.17699999999999999</v>
      </c>
      <c r="C6" s="8">
        <v>0.106</v>
      </c>
      <c r="D6" s="8">
        <v>5.2999999999999999E-2</v>
      </c>
      <c r="E6" s="8">
        <v>4.3999999999999997E-2</v>
      </c>
      <c r="F6" s="8">
        <v>3.4000000000000002E-2</v>
      </c>
      <c r="G6" s="8">
        <v>2.1999999999999999E-2</v>
      </c>
      <c r="H6" s="8">
        <v>1.7999999999999999E-2</v>
      </c>
      <c r="I6" s="8">
        <v>0</v>
      </c>
      <c r="J6" s="10">
        <f t="shared" si="0"/>
        <v>6.8890000000000028E-3</v>
      </c>
      <c r="K6" s="10">
        <f t="shared" si="0"/>
        <v>1.0890000000000001E-3</v>
      </c>
      <c r="L6" s="10">
        <f t="shared" si="0"/>
        <v>1.2100000000000022E-4</v>
      </c>
      <c r="M6" s="8">
        <f t="shared" si="0"/>
        <v>1.0000000000000005E-4</v>
      </c>
      <c r="N6" s="10">
        <f t="shared" si="0"/>
        <v>4.8999999999999992E-5</v>
      </c>
      <c r="O6" s="10">
        <f t="shared" si="0"/>
        <v>1.0000000000000005E-4</v>
      </c>
      <c r="P6" s="10">
        <f t="shared" si="0"/>
        <v>3.999999999999993E-6</v>
      </c>
      <c r="Q6" s="10">
        <f t="shared" si="0"/>
        <v>1.5999999999999986E-5</v>
      </c>
      <c r="R6" s="10">
        <f t="shared" si="1"/>
        <v>8.3680000000000022E-3</v>
      </c>
      <c r="S6" s="10">
        <f t="shared" si="2"/>
        <v>9.1476773008234188E-2</v>
      </c>
      <c r="T6" s="8">
        <v>19</v>
      </c>
      <c r="U6" s="8" t="s">
        <v>59</v>
      </c>
      <c r="V6" s="8">
        <v>19</v>
      </c>
      <c r="W6" s="8">
        <v>16</v>
      </c>
      <c r="X6" s="8">
        <v>35</v>
      </c>
    </row>
    <row r="7" spans="1:24" x14ac:dyDescent="0.25">
      <c r="A7" s="8">
        <v>0.57499999999999996</v>
      </c>
      <c r="B7" s="8">
        <v>0.128</v>
      </c>
      <c r="C7" s="8">
        <v>0.11</v>
      </c>
      <c r="D7" s="8">
        <v>5.7000000000000002E-2</v>
      </c>
      <c r="E7" s="8">
        <v>5.2999999999999999E-2</v>
      </c>
      <c r="F7" s="8">
        <v>1.6E-2</v>
      </c>
      <c r="G7" s="8">
        <v>1.4999999999999999E-2</v>
      </c>
      <c r="H7" s="8">
        <v>7.0000000000000001E-3</v>
      </c>
      <c r="I7" s="8">
        <v>0</v>
      </c>
      <c r="J7" s="10">
        <f t="shared" si="0"/>
        <v>3.135999999999993E-3</v>
      </c>
      <c r="K7" s="10">
        <f t="shared" si="0"/>
        <v>2.5599999999999955E-4</v>
      </c>
      <c r="L7" s="10">
        <f t="shared" si="0"/>
        <v>4.9000000000000087E-5</v>
      </c>
      <c r="M7" s="8">
        <f t="shared" si="0"/>
        <v>3.5999999999999981E-5</v>
      </c>
      <c r="N7" s="10">
        <f t="shared" si="0"/>
        <v>2.5599999999999999E-4</v>
      </c>
      <c r="O7" s="10">
        <f t="shared" si="0"/>
        <v>6.3999999999999997E-5</v>
      </c>
      <c r="P7" s="10">
        <f t="shared" si="0"/>
        <v>2.5000000000000011E-5</v>
      </c>
      <c r="Q7" s="10">
        <f t="shared" si="0"/>
        <v>4.9000000000000005E-5</v>
      </c>
      <c r="R7" s="10">
        <f t="shared" si="1"/>
        <v>3.8709999999999925E-3</v>
      </c>
      <c r="S7" s="10">
        <f t="shared" si="2"/>
        <v>6.221736092120906E-2</v>
      </c>
      <c r="T7" s="8">
        <v>14</v>
      </c>
      <c r="U7" s="8" t="s">
        <v>59</v>
      </c>
      <c r="V7" s="8">
        <v>19</v>
      </c>
      <c r="W7" s="8">
        <v>16</v>
      </c>
      <c r="X7" s="8">
        <v>35</v>
      </c>
    </row>
    <row r="8" spans="1:24" x14ac:dyDescent="0.25">
      <c r="A8" s="8">
        <v>0.48099999999999998</v>
      </c>
      <c r="B8" s="8">
        <v>0.19</v>
      </c>
      <c r="C8" s="8">
        <v>7.6999999999999999E-2</v>
      </c>
      <c r="D8" s="8">
        <v>6.7000000000000004E-2</v>
      </c>
      <c r="E8" s="8">
        <v>5.8999999999999997E-2</v>
      </c>
      <c r="F8" s="8">
        <v>3.3000000000000002E-2</v>
      </c>
      <c r="G8" s="8">
        <v>1.6E-2</v>
      </c>
      <c r="H8" s="8">
        <v>1.2999999999999999E-2</v>
      </c>
      <c r="I8" s="8">
        <v>0</v>
      </c>
      <c r="J8" s="10">
        <f t="shared" si="0"/>
        <v>1.4440000000000026E-3</v>
      </c>
      <c r="K8" s="10">
        <f t="shared" si="0"/>
        <v>2.1160000000000011E-3</v>
      </c>
      <c r="L8" s="10">
        <f t="shared" si="0"/>
        <v>1.6000000000000007E-3</v>
      </c>
      <c r="M8" s="8">
        <f t="shared" si="0"/>
        <v>1.600000000000003E-5</v>
      </c>
      <c r="N8" s="10">
        <f t="shared" si="0"/>
        <v>4.8399999999999995E-4</v>
      </c>
      <c r="O8" s="10">
        <f t="shared" si="0"/>
        <v>8.1000000000000017E-5</v>
      </c>
      <c r="P8" s="10">
        <f t="shared" si="0"/>
        <v>1.5999999999999999E-5</v>
      </c>
      <c r="Q8" s="10">
        <f t="shared" si="0"/>
        <v>1.0000000000000019E-6</v>
      </c>
      <c r="R8" s="10">
        <f t="shared" si="1"/>
        <v>5.7580000000000062E-3</v>
      </c>
      <c r="S8" s="10">
        <f t="shared" si="2"/>
        <v>7.5881486543161542E-2</v>
      </c>
      <c r="T8" s="8">
        <v>9</v>
      </c>
      <c r="U8" s="8" t="s">
        <v>59</v>
      </c>
      <c r="V8" s="8">
        <v>19</v>
      </c>
      <c r="W8" s="8">
        <v>16</v>
      </c>
      <c r="X8" s="8">
        <v>35</v>
      </c>
    </row>
    <row r="9" spans="1:24" x14ac:dyDescent="0.25">
      <c r="A9" s="8">
        <v>0.499</v>
      </c>
      <c r="B9" s="8">
        <v>0.15</v>
      </c>
      <c r="C9" s="8">
        <v>0.114</v>
      </c>
      <c r="D9" s="8">
        <v>4.7E-2</v>
      </c>
      <c r="E9" s="8">
        <v>3.7999999999999999E-2</v>
      </c>
      <c r="F9" s="8">
        <v>2.4E-2</v>
      </c>
      <c r="G9" s="8">
        <v>0.02</v>
      </c>
      <c r="H9" s="8">
        <v>1.4E-2</v>
      </c>
      <c r="I9" s="8">
        <v>0</v>
      </c>
      <c r="J9" s="10">
        <f t="shared" si="0"/>
        <v>4.0000000000000072E-4</v>
      </c>
      <c r="K9" s="10">
        <f t="shared" si="0"/>
        <v>3.6000000000000062E-5</v>
      </c>
      <c r="L9" s="10">
        <f t="shared" si="0"/>
        <v>9.0000000000000155E-6</v>
      </c>
      <c r="M9" s="8">
        <f t="shared" si="0"/>
        <v>2.5599999999999999E-4</v>
      </c>
      <c r="N9" s="10">
        <f t="shared" si="0"/>
        <v>1.0000000000000019E-6</v>
      </c>
      <c r="O9" s="10">
        <f t="shared" si="0"/>
        <v>0</v>
      </c>
      <c r="P9" s="10">
        <f t="shared" si="0"/>
        <v>0</v>
      </c>
      <c r="Q9" s="10">
        <f t="shared" si="0"/>
        <v>0</v>
      </c>
      <c r="R9" s="10">
        <f t="shared" si="1"/>
        <v>7.020000000000008E-4</v>
      </c>
      <c r="S9" s="10">
        <f t="shared" si="2"/>
        <v>2.6495282598983556E-2</v>
      </c>
      <c r="T9" s="8">
        <v>24</v>
      </c>
      <c r="U9" s="8" t="s">
        <v>59</v>
      </c>
      <c r="V9" s="8">
        <v>19</v>
      </c>
      <c r="W9" s="8">
        <v>16</v>
      </c>
      <c r="X9" s="8">
        <v>35</v>
      </c>
    </row>
    <row r="10" spans="1:24" x14ac:dyDescent="0.25">
      <c r="A10" s="8">
        <v>0.60499999999999998</v>
      </c>
      <c r="B10" s="8">
        <v>0.2</v>
      </c>
      <c r="C10" s="8">
        <v>6.0999999999999999E-2</v>
      </c>
      <c r="D10" s="8">
        <v>3.4000000000000002E-2</v>
      </c>
      <c r="E10" s="8">
        <v>2.1000000000000001E-2</v>
      </c>
      <c r="F10" s="8">
        <v>1.7000000000000001E-2</v>
      </c>
      <c r="G10" s="8">
        <v>8.9999999999999993E-3</v>
      </c>
      <c r="H10" s="8">
        <v>6.0000000000000001E-3</v>
      </c>
      <c r="I10" s="8">
        <v>0</v>
      </c>
      <c r="J10" s="10">
        <f t="shared" si="0"/>
        <v>7.3959999999999937E-3</v>
      </c>
      <c r="K10" s="10">
        <f t="shared" si="0"/>
        <v>3.1360000000000025E-3</v>
      </c>
      <c r="L10" s="10">
        <f t="shared" si="0"/>
        <v>3.1360000000000008E-3</v>
      </c>
      <c r="M10" s="8">
        <f t="shared" si="0"/>
        <v>8.4099999999999984E-4</v>
      </c>
      <c r="N10" s="10">
        <f t="shared" si="0"/>
        <v>2.5599999999999988E-4</v>
      </c>
      <c r="O10" s="10">
        <f t="shared" si="0"/>
        <v>4.8999999999999992E-5</v>
      </c>
      <c r="P10" s="10">
        <f t="shared" si="0"/>
        <v>1.2100000000000003E-4</v>
      </c>
      <c r="Q10" s="10">
        <f t="shared" si="0"/>
        <v>6.3999999999999997E-5</v>
      </c>
      <c r="R10" s="10">
        <f t="shared" si="1"/>
        <v>1.4998999999999995E-2</v>
      </c>
      <c r="S10" s="10">
        <f t="shared" si="2"/>
        <v>0.1224704045882106</v>
      </c>
      <c r="T10" s="8">
        <v>35</v>
      </c>
      <c r="U10" s="8" t="s">
        <v>59</v>
      </c>
      <c r="V10" s="8">
        <v>19</v>
      </c>
      <c r="W10" s="8">
        <v>16</v>
      </c>
      <c r="X10" s="8">
        <v>35</v>
      </c>
    </row>
    <row r="11" spans="1:24" x14ac:dyDescent="0.25">
      <c r="A11" s="8">
        <v>0.47599999999999998</v>
      </c>
      <c r="B11" s="8">
        <v>0.21199999999999999</v>
      </c>
      <c r="C11" s="8">
        <v>6.7000000000000004E-2</v>
      </c>
      <c r="D11" s="8">
        <v>6.5000000000000002E-2</v>
      </c>
      <c r="E11" s="8">
        <v>3.9E-2</v>
      </c>
      <c r="F11" s="8">
        <v>2.9000000000000001E-2</v>
      </c>
      <c r="G11" s="8">
        <v>2.3E-2</v>
      </c>
      <c r="H11" s="8">
        <v>1.6E-2</v>
      </c>
      <c r="I11" s="8">
        <v>0</v>
      </c>
      <c r="J11" s="10">
        <f t="shared" si="0"/>
        <v>1.8490000000000032E-3</v>
      </c>
      <c r="K11" s="10">
        <f t="shared" si="0"/>
        <v>4.6240000000000005E-3</v>
      </c>
      <c r="L11" s="10">
        <f t="shared" si="0"/>
        <v>2.5000000000000005E-3</v>
      </c>
      <c r="M11" s="8">
        <f t="shared" si="0"/>
        <v>4.0000000000000074E-6</v>
      </c>
      <c r="N11" s="10">
        <f t="shared" si="0"/>
        <v>4.0000000000000074E-6</v>
      </c>
      <c r="O11" s="10">
        <f t="shared" si="0"/>
        <v>2.5000000000000011E-5</v>
      </c>
      <c r="P11" s="10">
        <f t="shared" si="0"/>
        <v>8.9999999999999951E-6</v>
      </c>
      <c r="Q11" s="10">
        <f t="shared" si="0"/>
        <v>3.9999999999999998E-6</v>
      </c>
      <c r="R11" s="10">
        <f t="shared" si="1"/>
        <v>9.0190000000000079E-3</v>
      </c>
      <c r="S11" s="10">
        <f t="shared" si="2"/>
        <v>9.4968415802307707E-2</v>
      </c>
      <c r="T11" s="8">
        <v>7</v>
      </c>
      <c r="U11" s="8" t="s">
        <v>59</v>
      </c>
      <c r="V11" s="8">
        <v>19</v>
      </c>
      <c r="W11" s="8">
        <v>16</v>
      </c>
      <c r="X11" s="8">
        <v>35</v>
      </c>
    </row>
    <row r="12" spans="1:24" x14ac:dyDescent="0.25">
      <c r="A12" s="8">
        <v>0.41899999999999998</v>
      </c>
      <c r="B12" s="8">
        <v>0.24</v>
      </c>
      <c r="C12" s="8">
        <v>6.8000000000000005E-2</v>
      </c>
      <c r="D12" s="8">
        <v>6.2E-2</v>
      </c>
      <c r="E12" s="8">
        <v>3.3000000000000002E-2</v>
      </c>
      <c r="F12" s="8">
        <v>3.1E-2</v>
      </c>
      <c r="G12" s="8">
        <v>2.7E-2</v>
      </c>
      <c r="H12" s="8">
        <v>1.7999999999999999E-2</v>
      </c>
      <c r="I12" s="8">
        <v>0</v>
      </c>
      <c r="J12" s="10">
        <f t="shared" si="0"/>
        <v>1.0000000000000007E-2</v>
      </c>
      <c r="K12" s="10">
        <f t="shared" si="0"/>
        <v>9.2160000000000002E-3</v>
      </c>
      <c r="L12" s="10">
        <f t="shared" si="0"/>
        <v>2.4010000000000004E-3</v>
      </c>
      <c r="M12" s="8">
        <f t="shared" si="0"/>
        <v>1.0000000000000019E-6</v>
      </c>
      <c r="N12" s="10">
        <f t="shared" si="0"/>
        <v>1.5999999999999972E-5</v>
      </c>
      <c r="O12" s="10">
        <f t="shared" si="0"/>
        <v>4.8999999999999992E-5</v>
      </c>
      <c r="P12" s="10">
        <f t="shared" si="0"/>
        <v>4.8999999999999992E-5</v>
      </c>
      <c r="Q12" s="10">
        <f t="shared" si="0"/>
        <v>1.5999999999999986E-5</v>
      </c>
      <c r="R12" s="10">
        <f t="shared" si="1"/>
        <v>2.1748000000000007E-2</v>
      </c>
      <c r="S12" s="10">
        <f t="shared" si="2"/>
        <v>0.14747203124660624</v>
      </c>
      <c r="T12" s="8">
        <v>4</v>
      </c>
      <c r="U12" s="8" t="s">
        <v>59</v>
      </c>
      <c r="V12" s="8">
        <v>19</v>
      </c>
      <c r="W12" s="8">
        <v>16</v>
      </c>
      <c r="X12" s="8">
        <v>35</v>
      </c>
    </row>
    <row r="13" spans="1:24" x14ac:dyDescent="0.25">
      <c r="A13" s="8">
        <v>0.40100000000000002</v>
      </c>
      <c r="B13" s="8">
        <v>0.20200000000000001</v>
      </c>
      <c r="C13" s="8">
        <v>9.5000000000000001E-2</v>
      </c>
      <c r="D13" s="8">
        <v>6.5000000000000002E-2</v>
      </c>
      <c r="E13" s="8">
        <v>5.2999999999999999E-2</v>
      </c>
      <c r="F13" s="8">
        <v>3.5999999999999997E-2</v>
      </c>
      <c r="G13" s="8">
        <v>0.03</v>
      </c>
      <c r="H13" s="8">
        <v>1.9E-2</v>
      </c>
      <c r="I13" s="8">
        <v>0</v>
      </c>
      <c r="J13" s="10">
        <f t="shared" si="0"/>
        <v>1.3923999999999999E-2</v>
      </c>
      <c r="K13" s="10">
        <f t="shared" si="0"/>
        <v>3.3640000000000028E-3</v>
      </c>
      <c r="L13" s="10">
        <f t="shared" si="0"/>
        <v>4.8400000000000027E-4</v>
      </c>
      <c r="M13" s="8">
        <f t="shared" si="0"/>
        <v>4.0000000000000074E-6</v>
      </c>
      <c r="N13" s="10">
        <f t="shared" si="0"/>
        <v>2.5599999999999999E-4</v>
      </c>
      <c r="O13" s="10">
        <f t="shared" si="0"/>
        <v>1.4399999999999992E-4</v>
      </c>
      <c r="P13" s="10">
        <f t="shared" si="0"/>
        <v>9.9999999999999964E-5</v>
      </c>
      <c r="Q13" s="10">
        <f t="shared" si="0"/>
        <v>2.4999999999999991E-5</v>
      </c>
      <c r="R13" s="10">
        <f t="shared" si="1"/>
        <v>1.8301000000000001E-2</v>
      </c>
      <c r="S13" s="10">
        <f t="shared" si="2"/>
        <v>0.13528118864054972</v>
      </c>
      <c r="T13" s="8">
        <v>5</v>
      </c>
      <c r="U13" s="8" t="s">
        <v>59</v>
      </c>
      <c r="V13" s="8">
        <v>19</v>
      </c>
      <c r="W13" s="8">
        <v>16</v>
      </c>
      <c r="X13" s="8">
        <v>35</v>
      </c>
    </row>
    <row r="14" spans="1:24" x14ac:dyDescent="0.25">
      <c r="A14" s="8">
        <v>0.35399999999999998</v>
      </c>
      <c r="B14" s="8">
        <v>0.24099999999999999</v>
      </c>
      <c r="C14" s="8">
        <v>0.157</v>
      </c>
      <c r="D14" s="8">
        <v>5.6000000000000001E-2</v>
      </c>
      <c r="E14" s="8">
        <v>4.5999999999999999E-2</v>
      </c>
      <c r="F14" s="8">
        <v>0.03</v>
      </c>
      <c r="G14" s="8">
        <v>0.02</v>
      </c>
      <c r="H14" s="8">
        <v>1.7999999999999999E-2</v>
      </c>
      <c r="I14" s="8">
        <v>0</v>
      </c>
      <c r="J14" s="10">
        <f t="shared" si="0"/>
        <v>2.7225000000000013E-2</v>
      </c>
      <c r="K14" s="10">
        <f t="shared" si="0"/>
        <v>9.4090000000000007E-3</v>
      </c>
      <c r="L14" s="10">
        <f t="shared" si="0"/>
        <v>1.5999999999999994E-3</v>
      </c>
      <c r="M14" s="8">
        <f t="shared" si="0"/>
        <v>4.8999999999999992E-5</v>
      </c>
      <c r="N14" s="10">
        <f t="shared" si="0"/>
        <v>8.1000000000000017E-5</v>
      </c>
      <c r="O14" s="10">
        <f t="shared" si="0"/>
        <v>3.5999999999999981E-5</v>
      </c>
      <c r="P14" s="10">
        <f t="shared" si="0"/>
        <v>0</v>
      </c>
      <c r="Q14" s="10">
        <f t="shared" si="0"/>
        <v>1.5999999999999986E-5</v>
      </c>
      <c r="R14" s="10">
        <f t="shared" si="1"/>
        <v>3.8416000000000013E-2</v>
      </c>
      <c r="S14" s="10">
        <f t="shared" si="2"/>
        <v>0.19600000000000004</v>
      </c>
      <c r="T14" s="8">
        <v>16</v>
      </c>
      <c r="U14" s="8" t="s">
        <v>59</v>
      </c>
      <c r="V14" s="8">
        <v>19</v>
      </c>
      <c r="W14" s="8">
        <v>16</v>
      </c>
      <c r="X14" s="8">
        <v>35</v>
      </c>
    </row>
    <row r="15" spans="1:24" x14ac:dyDescent="0.25">
      <c r="A15" s="8">
        <v>0.54</v>
      </c>
      <c r="B15" s="8">
        <v>0.16</v>
      </c>
      <c r="C15" s="8">
        <v>0.112</v>
      </c>
      <c r="D15" s="8">
        <v>5.8999999999999997E-2</v>
      </c>
      <c r="E15" s="8">
        <v>3.1E-2</v>
      </c>
      <c r="F15" s="8">
        <v>2.1999999999999999E-2</v>
      </c>
      <c r="G15" s="8">
        <v>1.7999999999999999E-2</v>
      </c>
      <c r="H15" s="8">
        <v>8.0000000000000002E-3</v>
      </c>
      <c r="I15" s="8">
        <v>0</v>
      </c>
      <c r="J15" s="10">
        <f t="shared" si="0"/>
        <v>4.410000000000008E-4</v>
      </c>
      <c r="K15" s="10">
        <f t="shared" si="0"/>
        <v>2.5600000000000048E-4</v>
      </c>
      <c r="L15" s="10">
        <f t="shared" si="0"/>
        <v>2.5000000000000045E-5</v>
      </c>
      <c r="M15" s="8">
        <f t="shared" si="0"/>
        <v>1.600000000000003E-5</v>
      </c>
      <c r="N15" s="10">
        <f t="shared" si="0"/>
        <v>3.5999999999999981E-5</v>
      </c>
      <c r="O15" s="10">
        <f t="shared" si="0"/>
        <v>4.0000000000000074E-6</v>
      </c>
      <c r="P15" s="10">
        <f t="shared" si="0"/>
        <v>4.0000000000000074E-6</v>
      </c>
      <c r="Q15" s="10">
        <f t="shared" si="0"/>
        <v>3.6000000000000001E-5</v>
      </c>
      <c r="R15" s="10">
        <f t="shared" si="1"/>
        <v>8.1800000000000134E-4</v>
      </c>
      <c r="S15" s="10">
        <f t="shared" si="2"/>
        <v>2.8600699292150207E-2</v>
      </c>
      <c r="T15" s="8">
        <v>11</v>
      </c>
      <c r="U15" s="8" t="s">
        <v>59</v>
      </c>
      <c r="V15" s="8">
        <v>19</v>
      </c>
      <c r="W15" s="8">
        <v>16</v>
      </c>
      <c r="X15" s="8">
        <v>35</v>
      </c>
    </row>
    <row r="16" spans="1:24" x14ac:dyDescent="0.25">
      <c r="A16" s="8">
        <v>0.29699999999999999</v>
      </c>
      <c r="B16" s="8">
        <v>0.13600000000000001</v>
      </c>
      <c r="C16" s="8">
        <v>0.112</v>
      </c>
      <c r="D16" s="8">
        <v>8.6999999999999994E-2</v>
      </c>
      <c r="E16" s="8">
        <v>5.8000000000000003E-2</v>
      </c>
      <c r="F16" s="8">
        <v>4.3999999999999997E-2</v>
      </c>
      <c r="G16" s="8">
        <v>3.7999999999999999E-2</v>
      </c>
      <c r="H16" s="8">
        <v>3.5999999999999997E-2</v>
      </c>
      <c r="I16" s="8">
        <v>0</v>
      </c>
      <c r="J16" s="10">
        <f t="shared" si="0"/>
        <v>4.9284000000000015E-2</v>
      </c>
      <c r="K16" s="10">
        <f t="shared" si="0"/>
        <v>6.3999999999999672E-5</v>
      </c>
      <c r="L16" s="10">
        <f t="shared" si="0"/>
        <v>2.5000000000000045E-5</v>
      </c>
      <c r="M16" s="8">
        <f t="shared" si="0"/>
        <v>5.7599999999999969E-4</v>
      </c>
      <c r="N16" s="10">
        <f t="shared" si="0"/>
        <v>4.410000000000002E-4</v>
      </c>
      <c r="O16" s="10">
        <f t="shared" si="0"/>
        <v>3.9999999999999986E-4</v>
      </c>
      <c r="P16" s="10">
        <f t="shared" si="0"/>
        <v>3.2399999999999996E-4</v>
      </c>
      <c r="Q16" s="10">
        <f t="shared" si="0"/>
        <v>4.8399999999999995E-4</v>
      </c>
      <c r="R16" s="10">
        <f t="shared" si="1"/>
        <v>5.1598000000000005E-2</v>
      </c>
      <c r="S16" s="10">
        <f t="shared" si="2"/>
        <v>0.22715193153482099</v>
      </c>
      <c r="T16" s="8">
        <v>31</v>
      </c>
      <c r="U16" s="8" t="s">
        <v>59</v>
      </c>
      <c r="V16" s="8">
        <v>19</v>
      </c>
      <c r="W16" s="8">
        <v>16</v>
      </c>
      <c r="X16" s="8">
        <v>35</v>
      </c>
    </row>
    <row r="17" spans="1:24" x14ac:dyDescent="0.25">
      <c r="A17" s="8">
        <v>0.45700000000000002</v>
      </c>
      <c r="B17" s="8">
        <v>0.22500000000000001</v>
      </c>
      <c r="C17" s="8">
        <v>0.13400000000000001</v>
      </c>
      <c r="D17" s="8">
        <v>4.8000000000000001E-2</v>
      </c>
      <c r="E17" s="8">
        <v>3.5000000000000003E-2</v>
      </c>
      <c r="F17" s="8">
        <v>2.1000000000000001E-2</v>
      </c>
      <c r="G17" s="8">
        <v>1.2999999999999999E-2</v>
      </c>
      <c r="H17" s="8">
        <v>8.9999999999999993E-3</v>
      </c>
      <c r="I17" s="8">
        <v>0</v>
      </c>
      <c r="J17" s="10">
        <f t="shared" si="0"/>
        <v>3.8439999999999998E-3</v>
      </c>
      <c r="K17" s="10">
        <f t="shared" si="0"/>
        <v>6.5610000000000026E-3</v>
      </c>
      <c r="L17" s="10">
        <f t="shared" si="0"/>
        <v>2.8900000000000003E-4</v>
      </c>
      <c r="M17" s="8">
        <f t="shared" si="0"/>
        <v>2.2499999999999999E-4</v>
      </c>
      <c r="N17" s="10">
        <f t="shared" si="0"/>
        <v>3.9999999999999795E-6</v>
      </c>
      <c r="O17" s="10">
        <f t="shared" si="0"/>
        <v>8.9999999999999951E-6</v>
      </c>
      <c r="P17" s="10">
        <f t="shared" si="0"/>
        <v>4.9000000000000012E-5</v>
      </c>
      <c r="Q17" s="10">
        <f t="shared" si="0"/>
        <v>2.5000000000000011E-5</v>
      </c>
      <c r="R17" s="10">
        <f t="shared" si="1"/>
        <v>1.1006000000000004E-2</v>
      </c>
      <c r="S17" s="10">
        <f t="shared" si="2"/>
        <v>0.10490948479522719</v>
      </c>
      <c r="T17" s="8">
        <v>23</v>
      </c>
      <c r="U17" s="8" t="s">
        <v>59</v>
      </c>
      <c r="V17" s="8">
        <v>19</v>
      </c>
      <c r="W17" s="8">
        <v>16</v>
      </c>
      <c r="X17" s="8">
        <v>35</v>
      </c>
    </row>
    <row r="18" spans="1:24" x14ac:dyDescent="0.25">
      <c r="A18" s="8">
        <v>0.39300000000000002</v>
      </c>
      <c r="B18" s="8">
        <v>0.28399999999999997</v>
      </c>
      <c r="C18" s="8">
        <v>8.5999999999999993E-2</v>
      </c>
      <c r="D18" s="8">
        <v>5.8999999999999997E-2</v>
      </c>
      <c r="E18" s="8">
        <v>3.2000000000000001E-2</v>
      </c>
      <c r="F18" s="8">
        <v>2.9000000000000001E-2</v>
      </c>
      <c r="G18" s="8">
        <v>2.1999999999999999E-2</v>
      </c>
      <c r="H18" s="8">
        <v>1.7999999999999999E-2</v>
      </c>
      <c r="I18" s="8">
        <v>0</v>
      </c>
      <c r="J18" s="10">
        <f t="shared" si="0"/>
        <v>1.5876000000000001E-2</v>
      </c>
      <c r="K18" s="10">
        <f t="shared" si="0"/>
        <v>1.9599999999999996E-2</v>
      </c>
      <c r="L18" s="10">
        <f t="shared" si="0"/>
        <v>9.6100000000000081E-4</v>
      </c>
      <c r="M18" s="8">
        <f t="shared" si="0"/>
        <v>1.600000000000003E-5</v>
      </c>
      <c r="N18" s="10">
        <f t="shared" si="0"/>
        <v>2.4999999999999974E-5</v>
      </c>
      <c r="O18" s="10">
        <f t="shared" si="0"/>
        <v>2.5000000000000011E-5</v>
      </c>
      <c r="P18" s="10">
        <f t="shared" si="0"/>
        <v>3.999999999999993E-6</v>
      </c>
      <c r="Q18" s="10">
        <f t="shared" si="0"/>
        <v>1.5999999999999986E-5</v>
      </c>
      <c r="R18" s="10">
        <f t="shared" si="1"/>
        <v>3.6522999999999993E-2</v>
      </c>
      <c r="S18" s="10">
        <f t="shared" si="2"/>
        <v>0.19110991601693511</v>
      </c>
      <c r="T18" s="8">
        <v>10</v>
      </c>
      <c r="U18" s="8" t="s">
        <v>59</v>
      </c>
      <c r="V18" s="8">
        <v>19</v>
      </c>
      <c r="W18" s="8">
        <v>16</v>
      </c>
      <c r="X18" s="8">
        <v>35</v>
      </c>
    </row>
    <row r="19" spans="1:24" x14ac:dyDescent="0.25">
      <c r="A19" s="8">
        <v>0.52</v>
      </c>
      <c r="B19" s="8">
        <v>0.13</v>
      </c>
      <c r="C19" s="8">
        <v>0.11</v>
      </c>
      <c r="D19" s="8">
        <v>0.06</v>
      </c>
      <c r="E19" s="8">
        <v>2.9000000000000001E-2</v>
      </c>
      <c r="F19" s="8">
        <v>2.3E-2</v>
      </c>
      <c r="G19" s="8">
        <v>1.7999999999999999E-2</v>
      </c>
      <c r="H19" s="8">
        <v>1.2E-2</v>
      </c>
      <c r="I19" s="8">
        <v>0</v>
      </c>
      <c r="J19" s="10">
        <f t="shared" ref="J19:Q42" si="3">SUMSQ(A19-A61)</f>
        <v>1.0000000000000019E-6</v>
      </c>
      <c r="K19" s="10">
        <f t="shared" si="3"/>
        <v>1.9599999999999956E-4</v>
      </c>
      <c r="L19" s="10">
        <f t="shared" si="3"/>
        <v>4.9000000000000087E-5</v>
      </c>
      <c r="M19" s="8">
        <f t="shared" si="3"/>
        <v>9.0000000000000155E-6</v>
      </c>
      <c r="N19" s="10">
        <f t="shared" si="3"/>
        <v>6.3999999999999943E-5</v>
      </c>
      <c r="O19" s="10">
        <f t="shared" si="3"/>
        <v>1.0000000000000019E-6</v>
      </c>
      <c r="P19" s="10">
        <f t="shared" si="3"/>
        <v>4.0000000000000074E-6</v>
      </c>
      <c r="Q19" s="10">
        <f t="shared" si="3"/>
        <v>3.9999999999999998E-6</v>
      </c>
      <c r="R19" s="10">
        <f t="shared" si="1"/>
        <v>3.2799999999999957E-4</v>
      </c>
      <c r="S19" s="10">
        <f t="shared" si="2"/>
        <v>1.8110770276274821E-2</v>
      </c>
      <c r="T19" s="8">
        <v>8</v>
      </c>
      <c r="U19" s="8" t="s">
        <v>59</v>
      </c>
      <c r="V19" s="8">
        <v>19</v>
      </c>
      <c r="W19" s="8">
        <v>16</v>
      </c>
      <c r="X19" s="8">
        <v>35</v>
      </c>
    </row>
    <row r="20" spans="1:24" x14ac:dyDescent="0.25">
      <c r="A20" s="8">
        <v>0.434</v>
      </c>
      <c r="B20" s="8">
        <v>0.255</v>
      </c>
      <c r="C20" s="8">
        <v>0.108</v>
      </c>
      <c r="D20" s="8">
        <v>7.9000000000000001E-2</v>
      </c>
      <c r="E20" s="8">
        <v>2.5000000000000001E-2</v>
      </c>
      <c r="F20" s="8">
        <v>2.1000000000000001E-2</v>
      </c>
      <c r="G20" s="8">
        <v>1.4E-2</v>
      </c>
      <c r="H20" s="8">
        <v>1.2E-2</v>
      </c>
      <c r="I20" s="8">
        <v>0</v>
      </c>
      <c r="J20" s="10">
        <f t="shared" si="3"/>
        <v>7.2250000000000031E-3</v>
      </c>
      <c r="K20" s="10">
        <f t="shared" si="3"/>
        <v>1.2321000000000004E-2</v>
      </c>
      <c r="L20" s="10">
        <f t="shared" si="3"/>
        <v>8.1000000000000139E-5</v>
      </c>
      <c r="M20" s="8">
        <f t="shared" si="3"/>
        <v>2.5599999999999999E-4</v>
      </c>
      <c r="N20" s="10">
        <f t="shared" si="3"/>
        <v>1.4399999999999992E-4</v>
      </c>
      <c r="O20" s="10">
        <f t="shared" si="3"/>
        <v>8.9999999999999951E-6</v>
      </c>
      <c r="P20" s="10">
        <f t="shared" si="3"/>
        <v>3.6000000000000001E-5</v>
      </c>
      <c r="Q20" s="10">
        <f t="shared" si="3"/>
        <v>3.9999999999999998E-6</v>
      </c>
      <c r="R20" s="10">
        <f t="shared" si="1"/>
        <v>2.0076000000000007E-2</v>
      </c>
      <c r="S20" s="10">
        <f t="shared" si="2"/>
        <v>0.14168980203246812</v>
      </c>
      <c r="T20" s="8">
        <v>25</v>
      </c>
      <c r="U20" s="8" t="s">
        <v>59</v>
      </c>
      <c r="V20" s="8">
        <v>19</v>
      </c>
      <c r="W20" s="8">
        <v>16</v>
      </c>
      <c r="X20" s="8">
        <v>35</v>
      </c>
    </row>
    <row r="21" spans="1:24" x14ac:dyDescent="0.25">
      <c r="A21" s="8">
        <v>0.58199999999999996</v>
      </c>
      <c r="B21" s="8">
        <v>0.154</v>
      </c>
      <c r="C21" s="8">
        <v>0.12</v>
      </c>
      <c r="D21" s="8">
        <v>3.6999999999999998E-2</v>
      </c>
      <c r="E21" s="8">
        <v>2.1999999999999999E-2</v>
      </c>
      <c r="F21" s="8">
        <v>1.7000000000000001E-2</v>
      </c>
      <c r="G21" s="8">
        <v>1.2E-2</v>
      </c>
      <c r="H21" s="8">
        <v>8.0000000000000002E-3</v>
      </c>
      <c r="I21" s="8">
        <v>0</v>
      </c>
      <c r="J21" s="10">
        <f t="shared" si="3"/>
        <v>3.9689999999999934E-3</v>
      </c>
      <c r="K21" s="10">
        <f t="shared" si="3"/>
        <v>1.0000000000000018E-4</v>
      </c>
      <c r="L21" s="10">
        <f t="shared" si="3"/>
        <v>8.9999999999999325E-6</v>
      </c>
      <c r="M21" s="8">
        <f t="shared" si="3"/>
        <v>6.7600000000000017E-4</v>
      </c>
      <c r="N21" s="10">
        <f t="shared" si="3"/>
        <v>2.2499999999999999E-4</v>
      </c>
      <c r="O21" s="10">
        <f t="shared" si="3"/>
        <v>4.8999999999999992E-5</v>
      </c>
      <c r="P21" s="10">
        <f t="shared" si="3"/>
        <v>6.3999999999999997E-5</v>
      </c>
      <c r="Q21" s="10">
        <f t="shared" si="3"/>
        <v>3.6000000000000001E-5</v>
      </c>
      <c r="R21" s="10">
        <f t="shared" si="1"/>
        <v>5.1279999999999937E-3</v>
      </c>
      <c r="S21" s="10">
        <f t="shared" si="2"/>
        <v>7.1610055159872579E-2</v>
      </c>
      <c r="T21" s="8">
        <v>32</v>
      </c>
      <c r="U21" s="8" t="s">
        <v>59</v>
      </c>
      <c r="V21" s="8">
        <v>19</v>
      </c>
      <c r="W21" s="8">
        <v>16</v>
      </c>
      <c r="X21" s="8">
        <v>35</v>
      </c>
    </row>
    <row r="22" spans="1:24" x14ac:dyDescent="0.25">
      <c r="A22" s="8">
        <v>0.41299999999999998</v>
      </c>
      <c r="B22" s="8">
        <v>0.25800000000000001</v>
      </c>
      <c r="C22" s="8">
        <v>7.2999999999999995E-2</v>
      </c>
      <c r="D22" s="8">
        <v>0.05</v>
      </c>
      <c r="E22" s="8">
        <v>0.05</v>
      </c>
      <c r="F22" s="8">
        <v>0.04</v>
      </c>
      <c r="G22" s="8">
        <v>2.1000000000000001E-2</v>
      </c>
      <c r="H22" s="8">
        <v>1.7000000000000001E-2</v>
      </c>
      <c r="I22" s="8">
        <v>0</v>
      </c>
      <c r="J22" s="10">
        <f t="shared" si="3"/>
        <v>1.1236000000000008E-2</v>
      </c>
      <c r="K22" s="10">
        <f t="shared" si="3"/>
        <v>1.2996000000000004E-2</v>
      </c>
      <c r="L22" s="10">
        <f t="shared" si="3"/>
        <v>1.9360000000000011E-3</v>
      </c>
      <c r="M22" s="8">
        <f t="shared" si="3"/>
        <v>1.6899999999999993E-4</v>
      </c>
      <c r="N22" s="10">
        <f t="shared" si="3"/>
        <v>1.6900000000000012E-4</v>
      </c>
      <c r="O22" s="10">
        <f t="shared" si="3"/>
        <v>2.5599999999999999E-4</v>
      </c>
      <c r="P22" s="10">
        <f t="shared" si="3"/>
        <v>1.0000000000000019E-6</v>
      </c>
      <c r="Q22" s="10">
        <f t="shared" si="3"/>
        <v>9.0000000000000053E-6</v>
      </c>
      <c r="R22" s="10">
        <f t="shared" si="1"/>
        <v>2.6772000000000008E-2</v>
      </c>
      <c r="S22" s="10">
        <f t="shared" si="2"/>
        <v>0.16362151447777279</v>
      </c>
      <c r="T22" s="8">
        <v>22</v>
      </c>
      <c r="U22" s="8" t="s">
        <v>59</v>
      </c>
      <c r="V22" s="8">
        <v>19</v>
      </c>
      <c r="W22" s="8">
        <v>16</v>
      </c>
      <c r="X22" s="8">
        <v>35</v>
      </c>
    </row>
    <row r="23" spans="1:24" x14ac:dyDescent="0.25">
      <c r="A23" s="2">
        <v>0.45700000000000002</v>
      </c>
      <c r="B23" s="2">
        <v>0.17199999999999999</v>
      </c>
      <c r="C23" s="2">
        <v>0.11899999999999999</v>
      </c>
      <c r="D23" s="2">
        <v>0.105</v>
      </c>
      <c r="E23" s="2">
        <v>3.1E-2</v>
      </c>
      <c r="F23" s="2">
        <v>2.8000000000000001E-2</v>
      </c>
      <c r="G23" s="2">
        <v>1.2999999999999999E-2</v>
      </c>
      <c r="H23" s="2">
        <v>0.01</v>
      </c>
      <c r="I23" s="2">
        <v>1</v>
      </c>
      <c r="J23" s="7">
        <f t="shared" si="3"/>
        <v>3.8439999999999998E-3</v>
      </c>
      <c r="K23" s="7">
        <f t="shared" si="3"/>
        <v>7.8399999999999987E-4</v>
      </c>
      <c r="L23" s="7">
        <f t="shared" si="3"/>
        <v>3.9999999999999515E-6</v>
      </c>
      <c r="M23" s="2">
        <f t="shared" si="3"/>
        <v>1.7639999999999997E-3</v>
      </c>
      <c r="N23" s="7">
        <f t="shared" si="3"/>
        <v>3.5999999999999981E-5</v>
      </c>
      <c r="O23" s="7">
        <f t="shared" si="3"/>
        <v>1.5999999999999999E-5</v>
      </c>
      <c r="P23" s="7">
        <f t="shared" si="3"/>
        <v>4.9000000000000012E-5</v>
      </c>
      <c r="Q23" s="7">
        <f t="shared" si="3"/>
        <v>1.5999999999999999E-5</v>
      </c>
      <c r="R23" s="7">
        <f t="shared" si="1"/>
        <v>6.5129999999999997E-3</v>
      </c>
      <c r="S23" s="7">
        <f t="shared" si="2"/>
        <v>8.0703159789440704E-2</v>
      </c>
      <c r="T23" s="2">
        <v>39</v>
      </c>
      <c r="U23" s="2" t="s">
        <v>60</v>
      </c>
      <c r="V23" s="2">
        <v>19</v>
      </c>
      <c r="W23" s="2">
        <v>16</v>
      </c>
      <c r="X23" s="2">
        <v>35</v>
      </c>
    </row>
    <row r="24" spans="1:24" x14ac:dyDescent="0.25">
      <c r="A24" s="9">
        <v>0.40100000000000002</v>
      </c>
      <c r="B24" s="9">
        <v>0.251</v>
      </c>
      <c r="C24" s="9">
        <v>0.13300000000000001</v>
      </c>
      <c r="D24" s="9">
        <v>4.2000000000000003E-2</v>
      </c>
      <c r="E24" s="9">
        <v>3.1E-2</v>
      </c>
      <c r="F24" s="9">
        <v>2.8000000000000001E-2</v>
      </c>
      <c r="G24" s="9">
        <v>2.4E-2</v>
      </c>
      <c r="H24" s="9">
        <v>1.4E-2</v>
      </c>
      <c r="I24" s="9">
        <v>1</v>
      </c>
      <c r="J24" s="11">
        <f t="shared" si="3"/>
        <v>1.3923999999999999E-2</v>
      </c>
      <c r="K24" s="11">
        <f t="shared" si="3"/>
        <v>1.1449000000000003E-2</v>
      </c>
      <c r="L24" s="11">
        <f t="shared" si="3"/>
        <v>2.5599999999999999E-4</v>
      </c>
      <c r="M24" s="9">
        <f t="shared" si="3"/>
        <v>4.4099999999999993E-4</v>
      </c>
      <c r="N24" s="11">
        <f t="shared" si="3"/>
        <v>3.5999999999999981E-5</v>
      </c>
      <c r="O24" s="11">
        <f t="shared" si="3"/>
        <v>1.5999999999999999E-5</v>
      </c>
      <c r="P24" s="11">
        <f t="shared" si="3"/>
        <v>1.5999999999999999E-5</v>
      </c>
      <c r="Q24" s="11">
        <f t="shared" si="3"/>
        <v>0</v>
      </c>
      <c r="R24" s="11">
        <f t="shared" si="1"/>
        <v>2.6137999999999998E-2</v>
      </c>
      <c r="S24" s="11">
        <f t="shared" si="2"/>
        <v>0.16167250848551834</v>
      </c>
      <c r="T24" s="9">
        <v>28</v>
      </c>
      <c r="U24" s="9" t="s">
        <v>59</v>
      </c>
      <c r="V24" s="9">
        <v>19</v>
      </c>
      <c r="W24" s="9">
        <v>16</v>
      </c>
      <c r="X24" s="9">
        <v>35</v>
      </c>
    </row>
    <row r="25" spans="1:24" x14ac:dyDescent="0.25">
      <c r="A25" s="9">
        <v>0.38300000000000001</v>
      </c>
      <c r="B25" s="9">
        <v>0.30299999999999999</v>
      </c>
      <c r="C25" s="9">
        <v>0.13400000000000001</v>
      </c>
      <c r="D25" s="9">
        <v>4.2999999999999997E-2</v>
      </c>
      <c r="E25" s="9">
        <v>2.3E-2</v>
      </c>
      <c r="F25" s="9">
        <v>2.1000000000000001E-2</v>
      </c>
      <c r="G25" s="9">
        <v>1.7999999999999999E-2</v>
      </c>
      <c r="H25" s="9">
        <v>1.4999999999999999E-2</v>
      </c>
      <c r="I25" s="9">
        <v>1</v>
      </c>
      <c r="J25" s="11">
        <f t="shared" si="3"/>
        <v>1.8496000000000002E-2</v>
      </c>
      <c r="K25" s="11">
        <f t="shared" si="3"/>
        <v>2.5281000000000001E-2</v>
      </c>
      <c r="L25" s="11">
        <f t="shared" si="3"/>
        <v>2.8900000000000003E-4</v>
      </c>
      <c r="M25" s="9">
        <f t="shared" si="3"/>
        <v>4.0000000000000018E-4</v>
      </c>
      <c r="N25" s="11">
        <f t="shared" si="3"/>
        <v>1.9599999999999997E-4</v>
      </c>
      <c r="O25" s="11">
        <f t="shared" si="3"/>
        <v>8.9999999999999951E-6</v>
      </c>
      <c r="P25" s="11">
        <f t="shared" si="3"/>
        <v>4.0000000000000074E-6</v>
      </c>
      <c r="Q25" s="11">
        <f t="shared" si="3"/>
        <v>9.9999999999999826E-7</v>
      </c>
      <c r="R25" s="11">
        <f t="shared" si="1"/>
        <v>4.4676E-2</v>
      </c>
      <c r="S25" s="11">
        <f t="shared" si="2"/>
        <v>0.21136697944570246</v>
      </c>
      <c r="T25" s="9">
        <v>27</v>
      </c>
      <c r="U25" s="9" t="s">
        <v>59</v>
      </c>
      <c r="V25" s="9">
        <v>19</v>
      </c>
      <c r="W25" s="9">
        <v>16</v>
      </c>
      <c r="X25" s="9">
        <v>35</v>
      </c>
    </row>
    <row r="26" spans="1:24" x14ac:dyDescent="0.25">
      <c r="A26" s="2">
        <v>0.33200000000000002</v>
      </c>
      <c r="B26" s="2">
        <v>0.157</v>
      </c>
      <c r="C26" s="2">
        <v>0.114</v>
      </c>
      <c r="D26" s="2">
        <v>9.2999999999999999E-2</v>
      </c>
      <c r="E26" s="2">
        <v>5.8000000000000003E-2</v>
      </c>
      <c r="F26" s="2">
        <v>4.4999999999999998E-2</v>
      </c>
      <c r="G26" s="2">
        <v>3.4000000000000002E-2</v>
      </c>
      <c r="H26" s="2">
        <v>2.4E-2</v>
      </c>
      <c r="I26" s="2">
        <v>1</v>
      </c>
      <c r="J26" s="7">
        <f t="shared" si="3"/>
        <v>3.4969E-2</v>
      </c>
      <c r="K26" s="7">
        <f t="shared" si="3"/>
        <v>1.6900000000000031E-4</v>
      </c>
      <c r="L26" s="7">
        <f t="shared" si="3"/>
        <v>9.0000000000000155E-6</v>
      </c>
      <c r="M26" s="2">
        <f t="shared" si="3"/>
        <v>8.9999999999999998E-4</v>
      </c>
      <c r="N26" s="7">
        <f t="shared" si="3"/>
        <v>4.410000000000002E-4</v>
      </c>
      <c r="O26" s="7">
        <f t="shared" si="3"/>
        <v>4.4099999999999993E-4</v>
      </c>
      <c r="P26" s="7">
        <f t="shared" si="3"/>
        <v>1.9600000000000005E-4</v>
      </c>
      <c r="Q26" s="7">
        <f t="shared" si="3"/>
        <v>1E-4</v>
      </c>
      <c r="R26" s="7">
        <f t="shared" si="1"/>
        <v>3.7225000000000001E-2</v>
      </c>
      <c r="S26" s="7">
        <f t="shared" si="2"/>
        <v>0.19293781381574737</v>
      </c>
      <c r="T26" s="2">
        <v>36</v>
      </c>
      <c r="U26" s="2" t="s">
        <v>60</v>
      </c>
      <c r="V26" s="2">
        <v>19</v>
      </c>
      <c r="W26" s="2">
        <v>16</v>
      </c>
      <c r="X26" s="2">
        <v>35</v>
      </c>
    </row>
    <row r="27" spans="1:24" x14ac:dyDescent="0.25">
      <c r="A27" s="9">
        <v>0.38800000000000001</v>
      </c>
      <c r="B27" s="9">
        <v>0.22500000000000001</v>
      </c>
      <c r="C27" s="9">
        <v>0.127</v>
      </c>
      <c r="D27" s="9">
        <v>6.3E-2</v>
      </c>
      <c r="E27" s="9">
        <v>0.05</v>
      </c>
      <c r="F27" s="9">
        <v>3.1E-2</v>
      </c>
      <c r="G27" s="9">
        <v>2.1000000000000001E-2</v>
      </c>
      <c r="H27" s="9">
        <v>1.6E-2</v>
      </c>
      <c r="I27" s="9">
        <v>1</v>
      </c>
      <c r="J27" s="11">
        <f t="shared" si="3"/>
        <v>1.7161000000000003E-2</v>
      </c>
      <c r="K27" s="11">
        <f t="shared" si="3"/>
        <v>6.5610000000000026E-3</v>
      </c>
      <c r="L27" s="11">
        <f t="shared" si="3"/>
        <v>9.9999999999999896E-5</v>
      </c>
      <c r="M27" s="9">
        <f t="shared" si="3"/>
        <v>0</v>
      </c>
      <c r="N27" s="11">
        <f t="shared" si="3"/>
        <v>1.6900000000000012E-4</v>
      </c>
      <c r="O27" s="11">
        <f t="shared" si="3"/>
        <v>4.8999999999999992E-5</v>
      </c>
      <c r="P27" s="11">
        <f t="shared" si="3"/>
        <v>1.0000000000000019E-6</v>
      </c>
      <c r="Q27" s="11">
        <f t="shared" si="3"/>
        <v>3.9999999999999998E-6</v>
      </c>
      <c r="R27" s="11">
        <f t="shared" si="1"/>
        <v>2.4045000000000007E-2</v>
      </c>
      <c r="S27" s="11">
        <f t="shared" si="2"/>
        <v>0.15506450270774419</v>
      </c>
      <c r="T27" s="9">
        <v>3</v>
      </c>
      <c r="U27" s="9" t="s">
        <v>59</v>
      </c>
      <c r="V27" s="9">
        <v>19</v>
      </c>
      <c r="W27" s="9">
        <v>16</v>
      </c>
      <c r="X27" s="9">
        <v>35</v>
      </c>
    </row>
    <row r="28" spans="1:24" x14ac:dyDescent="0.25">
      <c r="A28" s="2">
        <v>0.32600000000000001</v>
      </c>
      <c r="B28" s="2">
        <v>0.158</v>
      </c>
      <c r="C28" s="2">
        <v>0.128</v>
      </c>
      <c r="D28" s="2">
        <v>0.109</v>
      </c>
      <c r="E28" s="2">
        <v>5.3999999999999999E-2</v>
      </c>
      <c r="F28" s="2">
        <v>4.4999999999999998E-2</v>
      </c>
      <c r="G28" s="2">
        <v>3.2000000000000001E-2</v>
      </c>
      <c r="H28" s="2">
        <v>2.4E-2</v>
      </c>
      <c r="I28" s="2">
        <v>1</v>
      </c>
      <c r="J28" s="7">
        <f t="shared" si="3"/>
        <v>3.7249000000000004E-2</v>
      </c>
      <c r="K28" s="7">
        <f t="shared" si="3"/>
        <v>1.9600000000000035E-4</v>
      </c>
      <c r="L28" s="7">
        <f t="shared" si="3"/>
        <v>1.2099999999999991E-4</v>
      </c>
      <c r="M28" s="2">
        <f t="shared" si="3"/>
        <v>2.1159999999999998E-3</v>
      </c>
      <c r="N28" s="7">
        <f t="shared" si="3"/>
        <v>2.8900000000000003E-4</v>
      </c>
      <c r="O28" s="7">
        <f t="shared" si="3"/>
        <v>4.4099999999999993E-4</v>
      </c>
      <c r="P28" s="7">
        <f t="shared" si="3"/>
        <v>1.44E-4</v>
      </c>
      <c r="Q28" s="7">
        <f t="shared" si="3"/>
        <v>1E-4</v>
      </c>
      <c r="R28" s="7">
        <f t="shared" si="1"/>
        <v>4.0656000000000005E-2</v>
      </c>
      <c r="S28" s="7">
        <f t="shared" si="2"/>
        <v>0.20163333057805696</v>
      </c>
      <c r="T28" s="2">
        <v>40</v>
      </c>
      <c r="U28" s="2" t="s">
        <v>60</v>
      </c>
      <c r="V28" s="2">
        <v>19</v>
      </c>
      <c r="W28" s="2">
        <v>16</v>
      </c>
      <c r="X28" s="2">
        <v>35</v>
      </c>
    </row>
    <row r="29" spans="1:24" x14ac:dyDescent="0.25">
      <c r="A29" s="9">
        <v>0.34499999999999997</v>
      </c>
      <c r="B29" s="9">
        <v>0.33</v>
      </c>
      <c r="C29" s="9">
        <v>0.13</v>
      </c>
      <c r="D29" s="9">
        <v>6.3E-2</v>
      </c>
      <c r="E29" s="9">
        <v>3.9E-2</v>
      </c>
      <c r="F29" s="9">
        <v>1.7999999999999999E-2</v>
      </c>
      <c r="G29" s="9">
        <v>1.4E-2</v>
      </c>
      <c r="H29" s="9">
        <v>0.01</v>
      </c>
      <c r="I29" s="9">
        <v>1</v>
      </c>
      <c r="J29" s="11">
        <f t="shared" si="3"/>
        <v>3.0276000000000015E-2</v>
      </c>
      <c r="K29" s="11">
        <f t="shared" si="3"/>
        <v>3.4596000000000009E-2</v>
      </c>
      <c r="L29" s="11">
        <f t="shared" si="3"/>
        <v>1.6899999999999993E-4</v>
      </c>
      <c r="M29" s="9">
        <f t="shared" si="3"/>
        <v>0</v>
      </c>
      <c r="N29" s="11">
        <f t="shared" si="3"/>
        <v>4.0000000000000074E-6</v>
      </c>
      <c r="O29" s="11">
        <f t="shared" si="3"/>
        <v>3.6000000000000021E-5</v>
      </c>
      <c r="P29" s="11">
        <f t="shared" si="3"/>
        <v>3.6000000000000001E-5</v>
      </c>
      <c r="Q29" s="11">
        <f t="shared" si="3"/>
        <v>1.5999999999999999E-5</v>
      </c>
      <c r="R29" s="11">
        <f t="shared" si="1"/>
        <v>6.5133000000000024E-2</v>
      </c>
      <c r="S29" s="11">
        <f t="shared" si="2"/>
        <v>0.25521167684884644</v>
      </c>
      <c r="T29" s="9">
        <v>2</v>
      </c>
      <c r="U29" s="9" t="s">
        <v>59</v>
      </c>
      <c r="V29" s="9">
        <v>19</v>
      </c>
      <c r="W29" s="9">
        <v>16</v>
      </c>
      <c r="X29" s="9">
        <v>35</v>
      </c>
    </row>
    <row r="30" spans="1:24" x14ac:dyDescent="0.25">
      <c r="A30" s="9">
        <v>0.505</v>
      </c>
      <c r="B30" s="9">
        <v>0.22</v>
      </c>
      <c r="C30" s="9">
        <v>7.3999999999999996E-2</v>
      </c>
      <c r="D30" s="9">
        <v>5.6000000000000001E-2</v>
      </c>
      <c r="E30" s="9">
        <v>3.5000000000000003E-2</v>
      </c>
      <c r="F30" s="9">
        <v>2.1000000000000001E-2</v>
      </c>
      <c r="G30" s="9">
        <v>1.2E-2</v>
      </c>
      <c r="H30" s="9">
        <v>1.2E-2</v>
      </c>
      <c r="I30" s="9">
        <v>1</v>
      </c>
      <c r="J30" s="11">
        <f t="shared" si="3"/>
        <v>1.9600000000000035E-4</v>
      </c>
      <c r="K30" s="11">
        <f t="shared" si="3"/>
        <v>5.7760000000000016E-3</v>
      </c>
      <c r="L30" s="11">
        <f t="shared" si="3"/>
        <v>1.8490000000000008E-3</v>
      </c>
      <c r="M30" s="9">
        <f t="shared" si="3"/>
        <v>4.8999999999999992E-5</v>
      </c>
      <c r="N30" s="11">
        <f t="shared" si="3"/>
        <v>3.9999999999999795E-6</v>
      </c>
      <c r="O30" s="11">
        <f t="shared" si="3"/>
        <v>8.9999999999999951E-6</v>
      </c>
      <c r="P30" s="11">
        <f t="shared" si="3"/>
        <v>6.3999999999999997E-5</v>
      </c>
      <c r="Q30" s="11">
        <f t="shared" si="3"/>
        <v>3.9999999999999998E-6</v>
      </c>
      <c r="R30" s="11">
        <f t="shared" si="1"/>
        <v>7.9510000000000032E-3</v>
      </c>
      <c r="S30" s="11">
        <f t="shared" si="2"/>
        <v>8.9168380045843626E-2</v>
      </c>
      <c r="T30" s="9">
        <v>15</v>
      </c>
      <c r="U30" s="9" t="s">
        <v>59</v>
      </c>
      <c r="V30" s="9">
        <v>19</v>
      </c>
      <c r="W30" s="9">
        <v>16</v>
      </c>
      <c r="X30" s="9">
        <v>35</v>
      </c>
    </row>
    <row r="31" spans="1:24" x14ac:dyDescent="0.25">
      <c r="A31" s="9">
        <v>0.46800000000000003</v>
      </c>
      <c r="B31" s="9">
        <v>0.14199999999999999</v>
      </c>
      <c r="C31" s="9">
        <v>0.121</v>
      </c>
      <c r="D31" s="9">
        <v>7.1999999999999995E-2</v>
      </c>
      <c r="E31" s="9">
        <v>3.6999999999999998E-2</v>
      </c>
      <c r="F31" s="9">
        <v>0.03</v>
      </c>
      <c r="G31" s="9">
        <v>1.7999999999999999E-2</v>
      </c>
      <c r="H31" s="9">
        <v>1.6E-2</v>
      </c>
      <c r="I31" s="9">
        <v>1</v>
      </c>
      <c r="J31" s="11">
        <f t="shared" si="3"/>
        <v>2.6009999999999991E-3</v>
      </c>
      <c r="K31" s="11">
        <f t="shared" si="3"/>
        <v>4.0000000000000074E-6</v>
      </c>
      <c r="L31" s="11">
        <f t="shared" si="3"/>
        <v>1.5999999999999918E-5</v>
      </c>
      <c r="M31" s="9">
        <f t="shared" si="3"/>
        <v>8.0999999999999895E-5</v>
      </c>
      <c r="N31" s="11">
        <f t="shared" si="3"/>
        <v>0</v>
      </c>
      <c r="O31" s="11">
        <f t="shared" si="3"/>
        <v>3.5999999999999981E-5</v>
      </c>
      <c r="P31" s="11">
        <f t="shared" si="3"/>
        <v>4.0000000000000074E-6</v>
      </c>
      <c r="Q31" s="11">
        <f t="shared" si="3"/>
        <v>3.9999999999999998E-6</v>
      </c>
      <c r="R31" s="11">
        <f t="shared" si="1"/>
        <v>2.7459999999999993E-3</v>
      </c>
      <c r="S31" s="11">
        <f t="shared" si="2"/>
        <v>5.2402290026295602E-2</v>
      </c>
      <c r="T31" s="9">
        <v>18</v>
      </c>
      <c r="U31" s="9" t="s">
        <v>59</v>
      </c>
      <c r="V31" s="9">
        <v>19</v>
      </c>
      <c r="W31" s="9">
        <v>16</v>
      </c>
      <c r="X31" s="9">
        <v>35</v>
      </c>
    </row>
    <row r="32" spans="1:24" x14ac:dyDescent="0.25">
      <c r="A32" s="9">
        <v>0.505</v>
      </c>
      <c r="B32" s="9">
        <v>0.19500000000000001</v>
      </c>
      <c r="C32" s="9">
        <v>0.107</v>
      </c>
      <c r="D32" s="9">
        <v>8.1000000000000003E-2</v>
      </c>
      <c r="E32" s="9">
        <v>4.2000000000000003E-2</v>
      </c>
      <c r="F32" s="9">
        <v>2.1999999999999999E-2</v>
      </c>
      <c r="G32" s="9">
        <v>1.4E-2</v>
      </c>
      <c r="H32" s="9">
        <v>8.0000000000000002E-3</v>
      </c>
      <c r="I32" s="9">
        <v>1</v>
      </c>
      <c r="J32" s="11">
        <f t="shared" si="3"/>
        <v>1.9600000000000035E-4</v>
      </c>
      <c r="K32" s="11">
        <f t="shared" si="3"/>
        <v>2.6010000000000017E-3</v>
      </c>
      <c r="L32" s="11">
        <f t="shared" si="3"/>
        <v>1.0000000000000018E-4</v>
      </c>
      <c r="M32" s="9">
        <f t="shared" si="3"/>
        <v>3.2400000000000007E-4</v>
      </c>
      <c r="N32" s="11">
        <f t="shared" si="3"/>
        <v>2.5000000000000045E-5</v>
      </c>
      <c r="O32" s="11">
        <f t="shared" si="3"/>
        <v>4.0000000000000074E-6</v>
      </c>
      <c r="P32" s="11">
        <f t="shared" si="3"/>
        <v>3.6000000000000001E-5</v>
      </c>
      <c r="Q32" s="11">
        <f t="shared" si="3"/>
        <v>3.6000000000000001E-5</v>
      </c>
      <c r="R32" s="11">
        <f t="shared" si="1"/>
        <v>3.3220000000000025E-3</v>
      </c>
      <c r="S32" s="11">
        <f t="shared" si="2"/>
        <v>5.7636793803958274E-2</v>
      </c>
      <c r="T32" s="9">
        <v>26</v>
      </c>
      <c r="U32" s="9" t="s">
        <v>59</v>
      </c>
      <c r="V32" s="9">
        <v>19</v>
      </c>
      <c r="W32" s="9">
        <v>16</v>
      </c>
      <c r="X32" s="9">
        <v>35</v>
      </c>
    </row>
    <row r="33" spans="1:24" x14ac:dyDescent="0.25">
      <c r="A33" s="2">
        <v>0.315</v>
      </c>
      <c r="B33" s="2">
        <v>0.21</v>
      </c>
      <c r="C33" s="2">
        <v>0.153</v>
      </c>
      <c r="D33" s="2">
        <v>9.4E-2</v>
      </c>
      <c r="E33" s="2">
        <v>4.8000000000000001E-2</v>
      </c>
      <c r="F33" s="2">
        <v>3.5000000000000003E-2</v>
      </c>
      <c r="G33" s="2">
        <v>1.9E-2</v>
      </c>
      <c r="H33" s="2">
        <v>1.7999999999999999E-2</v>
      </c>
      <c r="I33" s="2">
        <v>1</v>
      </c>
      <c r="J33" s="7">
        <f t="shared" si="3"/>
        <v>4.1616000000000007E-2</v>
      </c>
      <c r="K33" s="7">
        <f t="shared" si="3"/>
        <v>4.3560000000000005E-3</v>
      </c>
      <c r="L33" s="7">
        <f t="shared" si="3"/>
        <v>1.2959999999999994E-3</v>
      </c>
      <c r="M33" s="2">
        <f t="shared" si="3"/>
        <v>9.6099999999999994E-4</v>
      </c>
      <c r="N33" s="7">
        <f t="shared" si="3"/>
        <v>1.2100000000000007E-4</v>
      </c>
      <c r="O33" s="7">
        <f t="shared" si="3"/>
        <v>1.2100000000000007E-4</v>
      </c>
      <c r="P33" s="7">
        <f t="shared" si="3"/>
        <v>1.0000000000000019E-6</v>
      </c>
      <c r="Q33" s="7">
        <f t="shared" si="3"/>
        <v>1.5999999999999986E-5</v>
      </c>
      <c r="R33" s="7">
        <f t="shared" si="1"/>
        <v>4.848800000000001E-2</v>
      </c>
      <c r="S33" s="7">
        <f t="shared" si="2"/>
        <v>0.22019990917345994</v>
      </c>
      <c r="T33" s="2">
        <v>37</v>
      </c>
      <c r="U33" s="2" t="s">
        <v>60</v>
      </c>
      <c r="V33" s="2">
        <v>19</v>
      </c>
      <c r="W33" s="2">
        <v>16</v>
      </c>
      <c r="X33" s="2">
        <v>35</v>
      </c>
    </row>
    <row r="34" spans="1:24" x14ac:dyDescent="0.25">
      <c r="A34" s="9">
        <v>0.42</v>
      </c>
      <c r="B34" s="9">
        <v>0.25700000000000001</v>
      </c>
      <c r="C34" s="9">
        <v>0.111</v>
      </c>
      <c r="D34" s="9">
        <v>5.8000000000000003E-2</v>
      </c>
      <c r="E34" s="9">
        <v>3.2000000000000001E-2</v>
      </c>
      <c r="F34" s="9">
        <v>0.02</v>
      </c>
      <c r="G34" s="9">
        <v>1.6E-2</v>
      </c>
      <c r="H34" s="9">
        <v>1.2999999999999999E-2</v>
      </c>
      <c r="I34" s="9">
        <v>1</v>
      </c>
      <c r="J34" s="11">
        <f t="shared" si="3"/>
        <v>9.8010000000000059E-3</v>
      </c>
      <c r="K34" s="11">
        <f t="shared" si="3"/>
        <v>1.2769000000000004E-2</v>
      </c>
      <c r="L34" s="11">
        <f t="shared" si="3"/>
        <v>3.6000000000000062E-5</v>
      </c>
      <c r="M34" s="9">
        <f t="shared" si="3"/>
        <v>2.4999999999999974E-5</v>
      </c>
      <c r="N34" s="11">
        <f t="shared" si="3"/>
        <v>2.4999999999999974E-5</v>
      </c>
      <c r="O34" s="11">
        <f t="shared" si="3"/>
        <v>1.5999999999999999E-5</v>
      </c>
      <c r="P34" s="11">
        <f t="shared" si="3"/>
        <v>1.5999999999999999E-5</v>
      </c>
      <c r="Q34" s="11">
        <f t="shared" si="3"/>
        <v>1.0000000000000019E-6</v>
      </c>
      <c r="R34" s="11">
        <f t="shared" si="1"/>
        <v>2.2689000000000011E-2</v>
      </c>
      <c r="S34" s="11">
        <f t="shared" si="2"/>
        <v>0.15062868252759834</v>
      </c>
      <c r="T34" s="9">
        <v>13</v>
      </c>
      <c r="U34" s="9" t="s">
        <v>59</v>
      </c>
      <c r="V34" s="9">
        <v>19</v>
      </c>
      <c r="W34" s="9">
        <v>16</v>
      </c>
      <c r="X34" s="9">
        <v>35</v>
      </c>
    </row>
    <row r="35" spans="1:24" x14ac:dyDescent="0.25">
      <c r="A35" s="9">
        <v>0.39</v>
      </c>
      <c r="B35" s="9">
        <v>0.18</v>
      </c>
      <c r="C35" s="9">
        <v>0.13700000000000001</v>
      </c>
      <c r="D35" s="9">
        <v>6.7000000000000004E-2</v>
      </c>
      <c r="E35" s="9">
        <v>4.9000000000000002E-2</v>
      </c>
      <c r="F35" s="9">
        <v>2.9000000000000001E-2</v>
      </c>
      <c r="G35" s="9">
        <v>2.5999999999999999E-2</v>
      </c>
      <c r="H35" s="9">
        <v>2.4E-2</v>
      </c>
      <c r="I35" s="9">
        <v>1</v>
      </c>
      <c r="J35" s="11">
        <f t="shared" si="3"/>
        <v>1.6641E-2</v>
      </c>
      <c r="K35" s="11">
        <f t="shared" si="3"/>
        <v>1.2960000000000003E-3</v>
      </c>
      <c r="L35" s="11">
        <f t="shared" si="3"/>
        <v>4.0000000000000018E-4</v>
      </c>
      <c r="M35" s="9">
        <f t="shared" si="3"/>
        <v>1.600000000000003E-5</v>
      </c>
      <c r="N35" s="11">
        <f t="shared" si="3"/>
        <v>1.4400000000000008E-4</v>
      </c>
      <c r="O35" s="11">
        <f t="shared" si="3"/>
        <v>2.5000000000000011E-5</v>
      </c>
      <c r="P35" s="11">
        <f t="shared" si="3"/>
        <v>3.5999999999999981E-5</v>
      </c>
      <c r="Q35" s="11">
        <f t="shared" si="3"/>
        <v>1E-4</v>
      </c>
      <c r="R35" s="11">
        <f t="shared" si="1"/>
        <v>1.8658000000000004E-2</v>
      </c>
      <c r="S35" s="11">
        <f t="shared" si="2"/>
        <v>0.13659428977816021</v>
      </c>
      <c r="T35" s="9">
        <v>12</v>
      </c>
      <c r="U35" s="9" t="s">
        <v>59</v>
      </c>
      <c r="V35" s="9">
        <v>19</v>
      </c>
      <c r="W35" s="9">
        <v>16</v>
      </c>
      <c r="X35" s="9">
        <v>35</v>
      </c>
    </row>
    <row r="36" spans="1:24" x14ac:dyDescent="0.25">
      <c r="A36" s="9">
        <v>0.51900000000000002</v>
      </c>
      <c r="B36" s="9">
        <v>0.19400000000000001</v>
      </c>
      <c r="C36" s="9">
        <v>8.1000000000000003E-2</v>
      </c>
      <c r="D36" s="9">
        <v>5.6000000000000001E-2</v>
      </c>
      <c r="E36" s="9">
        <v>4.2000000000000003E-2</v>
      </c>
      <c r="F36" s="9">
        <v>2.4E-2</v>
      </c>
      <c r="G36" s="9">
        <v>1.7999999999999999E-2</v>
      </c>
      <c r="H36" s="9">
        <v>1.2999999999999999E-2</v>
      </c>
      <c r="I36" s="9">
        <v>1</v>
      </c>
      <c r="J36" s="11">
        <f t="shared" si="3"/>
        <v>0</v>
      </c>
      <c r="K36" s="11">
        <f t="shared" si="3"/>
        <v>2.5000000000000018E-3</v>
      </c>
      <c r="L36" s="11">
        <f t="shared" si="3"/>
        <v>1.2960000000000003E-3</v>
      </c>
      <c r="M36" s="9">
        <f t="shared" si="3"/>
        <v>4.8999999999999992E-5</v>
      </c>
      <c r="N36" s="11">
        <f t="shared" si="3"/>
        <v>2.5000000000000045E-5</v>
      </c>
      <c r="O36" s="11">
        <f t="shared" si="3"/>
        <v>0</v>
      </c>
      <c r="P36" s="11">
        <f t="shared" si="3"/>
        <v>4.0000000000000074E-6</v>
      </c>
      <c r="Q36" s="11">
        <f t="shared" si="3"/>
        <v>1.0000000000000019E-6</v>
      </c>
      <c r="R36" s="11">
        <f t="shared" si="1"/>
        <v>3.8750000000000021E-3</v>
      </c>
      <c r="S36" s="11">
        <f t="shared" si="2"/>
        <v>6.2249497989943677E-2</v>
      </c>
      <c r="T36" s="9">
        <v>17</v>
      </c>
      <c r="U36" s="9" t="s">
        <v>59</v>
      </c>
      <c r="V36" s="9">
        <v>19</v>
      </c>
      <c r="W36" s="9">
        <v>16</v>
      </c>
      <c r="X36" s="9">
        <v>35</v>
      </c>
    </row>
    <row r="37" spans="1:24" x14ac:dyDescent="0.25">
      <c r="A37" s="9">
        <v>0.372</v>
      </c>
      <c r="B37" s="9">
        <v>0.29099999999999998</v>
      </c>
      <c r="C37" s="9">
        <v>0.10100000000000001</v>
      </c>
      <c r="D37" s="9">
        <v>6.0999999999999999E-2</v>
      </c>
      <c r="E37" s="9">
        <v>3.1E-2</v>
      </c>
      <c r="F37" s="9">
        <v>2.5999999999999999E-2</v>
      </c>
      <c r="G37" s="9">
        <v>1.9E-2</v>
      </c>
      <c r="H37" s="9">
        <v>1.2E-2</v>
      </c>
      <c r="I37" s="9">
        <v>1</v>
      </c>
      <c r="J37" s="11">
        <f t="shared" si="3"/>
        <v>2.1609000000000007E-2</v>
      </c>
      <c r="K37" s="11">
        <f t="shared" si="3"/>
        <v>2.1608999999999996E-2</v>
      </c>
      <c r="L37" s="11">
        <f t="shared" si="3"/>
        <v>2.5599999999999999E-4</v>
      </c>
      <c r="M37" s="9">
        <f t="shared" si="3"/>
        <v>4.0000000000000074E-6</v>
      </c>
      <c r="N37" s="11">
        <f t="shared" si="3"/>
        <v>3.5999999999999981E-5</v>
      </c>
      <c r="O37" s="11">
        <f t="shared" si="3"/>
        <v>3.999999999999993E-6</v>
      </c>
      <c r="P37" s="11">
        <f t="shared" si="3"/>
        <v>1.0000000000000019E-6</v>
      </c>
      <c r="Q37" s="11">
        <f t="shared" si="3"/>
        <v>3.9999999999999998E-6</v>
      </c>
      <c r="R37" s="11">
        <f t="shared" si="1"/>
        <v>4.3522999999999999E-2</v>
      </c>
      <c r="S37" s="11">
        <f t="shared" si="2"/>
        <v>0.20862166713934582</v>
      </c>
      <c r="T37" s="9">
        <v>6</v>
      </c>
      <c r="U37" s="9" t="s">
        <v>59</v>
      </c>
      <c r="V37" s="9">
        <v>19</v>
      </c>
      <c r="W37" s="9">
        <v>16</v>
      </c>
      <c r="X37" s="9">
        <v>35</v>
      </c>
    </row>
    <row r="38" spans="1:24" x14ac:dyDescent="0.25">
      <c r="A38" s="9">
        <v>0.49399999999999999</v>
      </c>
      <c r="B38" s="9">
        <v>0.17899999999999999</v>
      </c>
      <c r="C38" s="9">
        <v>7.1999999999999995E-2</v>
      </c>
      <c r="D38" s="9">
        <v>0.05</v>
      </c>
      <c r="E38" s="9">
        <v>3.7999999999999999E-2</v>
      </c>
      <c r="F38" s="9">
        <v>2.9000000000000001E-2</v>
      </c>
      <c r="G38" s="9">
        <v>2.8000000000000001E-2</v>
      </c>
      <c r="H38" s="9">
        <v>1.6E-2</v>
      </c>
      <c r="I38" s="9">
        <v>1</v>
      </c>
      <c r="J38" s="11">
        <f t="shared" si="3"/>
        <v>6.250000000000011E-4</v>
      </c>
      <c r="K38" s="11">
        <f t="shared" si="3"/>
        <v>1.2250000000000002E-3</v>
      </c>
      <c r="L38" s="11">
        <f t="shared" si="3"/>
        <v>2.0250000000000012E-3</v>
      </c>
      <c r="M38" s="9">
        <f t="shared" si="3"/>
        <v>1.6899999999999993E-4</v>
      </c>
      <c r="N38" s="11">
        <f t="shared" si="3"/>
        <v>1.0000000000000019E-6</v>
      </c>
      <c r="O38" s="11">
        <f t="shared" si="3"/>
        <v>2.5000000000000011E-5</v>
      </c>
      <c r="P38" s="11">
        <f t="shared" si="3"/>
        <v>6.3999999999999997E-5</v>
      </c>
      <c r="Q38" s="11">
        <f t="shared" si="3"/>
        <v>3.9999999999999998E-6</v>
      </c>
      <c r="R38" s="11">
        <f t="shared" si="1"/>
        <v>4.1380000000000019E-3</v>
      </c>
      <c r="S38" s="11">
        <f t="shared" si="2"/>
        <v>6.4327288144301581E-2</v>
      </c>
      <c r="T38" s="9">
        <v>21</v>
      </c>
      <c r="U38" s="9" t="s">
        <v>59</v>
      </c>
      <c r="V38" s="9">
        <v>19</v>
      </c>
      <c r="W38" s="9">
        <v>16</v>
      </c>
      <c r="X38" s="9">
        <v>35</v>
      </c>
    </row>
    <row r="39" spans="1:24" x14ac:dyDescent="0.25">
      <c r="A39" s="9">
        <v>0.40200000000000002</v>
      </c>
      <c r="B39" s="9">
        <v>0.28000000000000003</v>
      </c>
      <c r="C39" s="9">
        <v>0.114</v>
      </c>
      <c r="D39" s="9">
        <v>7.3999999999999996E-2</v>
      </c>
      <c r="E39" s="9">
        <v>5.1999999999999998E-2</v>
      </c>
      <c r="F39" s="9">
        <v>1.2999999999999999E-2</v>
      </c>
      <c r="G39" s="9">
        <v>1.2999999999999999E-2</v>
      </c>
      <c r="H39" s="9">
        <v>0.01</v>
      </c>
      <c r="I39" s="9">
        <v>1</v>
      </c>
      <c r="J39" s="11">
        <f t="shared" si="3"/>
        <v>1.3688999999999998E-2</v>
      </c>
      <c r="K39" s="11">
        <f t="shared" si="3"/>
        <v>1.8496000000000009E-2</v>
      </c>
      <c r="L39" s="11">
        <f t="shared" si="3"/>
        <v>9.0000000000000155E-6</v>
      </c>
      <c r="M39" s="9">
        <f t="shared" si="3"/>
        <v>1.2099999999999991E-4</v>
      </c>
      <c r="N39" s="11">
        <f t="shared" si="3"/>
        <v>2.2499999999999999E-4</v>
      </c>
      <c r="O39" s="11">
        <f t="shared" si="3"/>
        <v>1.2100000000000003E-4</v>
      </c>
      <c r="P39" s="11">
        <f t="shared" si="3"/>
        <v>4.9000000000000012E-5</v>
      </c>
      <c r="Q39" s="11">
        <f t="shared" si="3"/>
        <v>1.5999999999999999E-5</v>
      </c>
      <c r="R39" s="11">
        <f t="shared" si="1"/>
        <v>3.2726000000000019E-2</v>
      </c>
      <c r="S39" s="11">
        <f t="shared" si="2"/>
        <v>0.18090328908010495</v>
      </c>
      <c r="T39" s="9">
        <v>20</v>
      </c>
      <c r="U39" s="9" t="s">
        <v>59</v>
      </c>
      <c r="V39" s="9">
        <v>19</v>
      </c>
      <c r="W39" s="9">
        <v>16</v>
      </c>
      <c r="X39" s="9">
        <v>35</v>
      </c>
    </row>
    <row r="40" spans="1:24" x14ac:dyDescent="0.25">
      <c r="A40" s="9">
        <v>0.48599999999999999</v>
      </c>
      <c r="B40" s="9">
        <v>0.224</v>
      </c>
      <c r="C40" s="9">
        <v>0.14199999999999999</v>
      </c>
      <c r="D40" s="9">
        <v>0.04</v>
      </c>
      <c r="E40" s="9">
        <v>2.8000000000000001E-2</v>
      </c>
      <c r="F40" s="9">
        <v>1.7000000000000001E-2</v>
      </c>
      <c r="G40" s="9">
        <v>1.4999999999999999E-2</v>
      </c>
      <c r="H40" s="9">
        <v>1.0999999999999999E-2</v>
      </c>
      <c r="I40" s="9">
        <v>1</v>
      </c>
      <c r="J40" s="11">
        <f t="shared" si="3"/>
        <v>1.0890000000000019E-3</v>
      </c>
      <c r="K40" s="11">
        <f t="shared" si="3"/>
        <v>6.4000000000000029E-3</v>
      </c>
      <c r="L40" s="11">
        <f t="shared" si="3"/>
        <v>6.2499999999999904E-4</v>
      </c>
      <c r="M40" s="9">
        <f t="shared" si="3"/>
        <v>5.2899999999999996E-4</v>
      </c>
      <c r="N40" s="11">
        <f t="shared" si="3"/>
        <v>8.0999999999999963E-5</v>
      </c>
      <c r="O40" s="11">
        <f t="shared" si="3"/>
        <v>4.8999999999999992E-5</v>
      </c>
      <c r="P40" s="11">
        <f t="shared" si="3"/>
        <v>2.5000000000000011E-5</v>
      </c>
      <c r="Q40" s="11">
        <f t="shared" si="3"/>
        <v>9.0000000000000053E-6</v>
      </c>
      <c r="R40" s="11">
        <f t="shared" si="1"/>
        <v>8.8070000000000041E-3</v>
      </c>
      <c r="S40" s="11">
        <f t="shared" si="2"/>
        <v>9.3845617905153167E-2</v>
      </c>
      <c r="T40" s="9">
        <v>30</v>
      </c>
      <c r="U40" s="9" t="s">
        <v>59</v>
      </c>
      <c r="V40" s="9">
        <v>19</v>
      </c>
      <c r="W40" s="9">
        <v>16</v>
      </c>
      <c r="X40" s="9">
        <v>35</v>
      </c>
    </row>
    <row r="41" spans="1:24" x14ac:dyDescent="0.25">
      <c r="A41" s="9">
        <v>0.36399999999999999</v>
      </c>
      <c r="B41" s="9">
        <v>0.253</v>
      </c>
      <c r="C41" s="9">
        <v>0.112</v>
      </c>
      <c r="D41" s="9">
        <v>9.1999999999999998E-2</v>
      </c>
      <c r="E41" s="9">
        <v>6.4000000000000001E-2</v>
      </c>
      <c r="F41" s="9">
        <v>2.5000000000000001E-2</v>
      </c>
      <c r="G41" s="9">
        <v>2.1999999999999999E-2</v>
      </c>
      <c r="H41" s="9">
        <v>1.4999999999999999E-2</v>
      </c>
      <c r="I41" s="9">
        <v>1</v>
      </c>
      <c r="J41" s="11">
        <f t="shared" si="3"/>
        <v>2.4025000000000008E-2</v>
      </c>
      <c r="K41" s="11">
        <f t="shared" si="3"/>
        <v>1.1881000000000003E-2</v>
      </c>
      <c r="L41" s="11">
        <f t="shared" si="3"/>
        <v>2.5000000000000045E-5</v>
      </c>
      <c r="M41" s="9">
        <f t="shared" si="3"/>
        <v>8.4099999999999984E-4</v>
      </c>
      <c r="N41" s="11">
        <f t="shared" si="3"/>
        <v>7.2900000000000016E-4</v>
      </c>
      <c r="O41" s="11">
        <f t="shared" si="3"/>
        <v>1.0000000000000019E-6</v>
      </c>
      <c r="P41" s="11">
        <f t="shared" si="3"/>
        <v>3.999999999999993E-6</v>
      </c>
      <c r="Q41" s="11">
        <f t="shared" si="3"/>
        <v>9.9999999999999826E-7</v>
      </c>
      <c r="R41" s="11">
        <f t="shared" si="1"/>
        <v>3.7507000000000006E-2</v>
      </c>
      <c r="S41" s="11">
        <f t="shared" si="2"/>
        <v>0.19366724038928215</v>
      </c>
      <c r="T41" s="9">
        <v>34</v>
      </c>
      <c r="U41" s="9" t="s">
        <v>59</v>
      </c>
      <c r="V41" s="9">
        <v>19</v>
      </c>
      <c r="W41" s="9">
        <v>16</v>
      </c>
      <c r="X41" s="9">
        <v>35</v>
      </c>
    </row>
    <row r="42" spans="1:24" x14ac:dyDescent="0.25">
      <c r="A42" s="9">
        <v>0.35099999999999998</v>
      </c>
      <c r="B42" s="9">
        <v>0.19600000000000001</v>
      </c>
      <c r="C42" s="9">
        <v>0.13700000000000001</v>
      </c>
      <c r="D42" s="9">
        <v>8.5999999999999993E-2</v>
      </c>
      <c r="E42" s="9">
        <v>4.4999999999999998E-2</v>
      </c>
      <c r="F42" s="9">
        <v>3.2000000000000001E-2</v>
      </c>
      <c r="G42" s="9">
        <v>2.5999999999999999E-2</v>
      </c>
      <c r="H42" s="9">
        <v>2.4E-2</v>
      </c>
      <c r="I42" s="9">
        <v>1</v>
      </c>
      <c r="J42" s="11">
        <f t="shared" si="3"/>
        <v>2.8224000000000013E-2</v>
      </c>
      <c r="K42" s="11">
        <f t="shared" si="3"/>
        <v>2.704000000000002E-3</v>
      </c>
      <c r="L42" s="11">
        <f t="shared" si="3"/>
        <v>4.0000000000000018E-4</v>
      </c>
      <c r="M42" s="9">
        <f t="shared" si="3"/>
        <v>5.2899999999999963E-4</v>
      </c>
      <c r="N42" s="11">
        <f t="shared" si="3"/>
        <v>6.3999999999999997E-5</v>
      </c>
      <c r="O42" s="11">
        <f t="shared" si="3"/>
        <v>6.3999999999999997E-5</v>
      </c>
      <c r="P42" s="11">
        <f t="shared" si="3"/>
        <v>3.5999999999999981E-5</v>
      </c>
      <c r="Q42" s="11">
        <f t="shared" si="3"/>
        <v>1E-4</v>
      </c>
      <c r="R42" s="11">
        <f t="shared" si="1"/>
        <v>3.2121000000000025E-2</v>
      </c>
      <c r="S42" s="11">
        <f t="shared" si="2"/>
        <v>0.17922332437492622</v>
      </c>
      <c r="T42" s="9">
        <v>29</v>
      </c>
      <c r="U42" s="9" t="s">
        <v>59</v>
      </c>
      <c r="V42" s="9">
        <v>19</v>
      </c>
      <c r="W42" s="9">
        <v>16</v>
      </c>
      <c r="X42" s="9">
        <v>35</v>
      </c>
    </row>
    <row r="43" spans="1:24" x14ac:dyDescent="0.25">
      <c r="A43" t="s">
        <v>30</v>
      </c>
      <c r="J43" s="1"/>
      <c r="K43" s="1"/>
      <c r="L43" s="1"/>
    </row>
    <row r="44" spans="1:24" x14ac:dyDescent="0.25">
      <c r="A44" s="4" t="s">
        <v>35</v>
      </c>
      <c r="B44" s="4" t="s">
        <v>36</v>
      </c>
      <c r="C44" s="4" t="s">
        <v>37</v>
      </c>
      <c r="D44" s="4" t="s">
        <v>38</v>
      </c>
      <c r="E44" s="4" t="s">
        <v>39</v>
      </c>
      <c r="F44" s="4" t="s">
        <v>40</v>
      </c>
      <c r="G44" s="4" t="s">
        <v>41</v>
      </c>
      <c r="H44" s="4" t="s">
        <v>42</v>
      </c>
      <c r="I44" s="4" t="s">
        <v>8</v>
      </c>
      <c r="J44" s="1"/>
      <c r="K44" s="1"/>
      <c r="L44" s="1"/>
    </row>
    <row r="45" spans="1:24" x14ac:dyDescent="0.25">
      <c r="A45" s="2">
        <v>0.51900000000000002</v>
      </c>
      <c r="B45" s="2">
        <v>0.14399999999999999</v>
      </c>
      <c r="C45" s="2">
        <v>0.11700000000000001</v>
      </c>
      <c r="D45" s="2">
        <v>6.3E-2</v>
      </c>
      <c r="E45" s="2">
        <v>3.6999999999999998E-2</v>
      </c>
      <c r="F45" s="2">
        <v>2.4E-2</v>
      </c>
      <c r="G45" s="2">
        <v>0.02</v>
      </c>
      <c r="H45" s="2">
        <v>1.4E-2</v>
      </c>
      <c r="I45" s="3">
        <v>0</v>
      </c>
      <c r="J45" s="1"/>
      <c r="K45" s="1"/>
      <c r="L45" s="1"/>
    </row>
    <row r="46" spans="1:24" x14ac:dyDescent="0.25">
      <c r="A46" s="2">
        <v>0.51900000000000002</v>
      </c>
      <c r="B46" s="2">
        <v>0.14399999999999999</v>
      </c>
      <c r="C46" s="2">
        <v>0.11700000000000001</v>
      </c>
      <c r="D46" s="2">
        <v>6.3E-2</v>
      </c>
      <c r="E46" s="2">
        <v>3.6999999999999998E-2</v>
      </c>
      <c r="F46" s="2">
        <v>2.4E-2</v>
      </c>
      <c r="G46" s="2">
        <v>0.02</v>
      </c>
      <c r="H46" s="2">
        <v>1.4E-2</v>
      </c>
      <c r="I46" s="3">
        <v>0</v>
      </c>
      <c r="J46" s="1"/>
      <c r="K46" s="1"/>
      <c r="L46" s="1"/>
    </row>
    <row r="47" spans="1:24" x14ac:dyDescent="0.25">
      <c r="A47" s="2">
        <v>0.51900000000000002</v>
      </c>
      <c r="B47" s="2">
        <v>0.14399999999999999</v>
      </c>
      <c r="C47" s="2">
        <v>0.11700000000000001</v>
      </c>
      <c r="D47" s="2">
        <v>6.3E-2</v>
      </c>
      <c r="E47" s="2">
        <v>3.6999999999999998E-2</v>
      </c>
      <c r="F47" s="2">
        <v>2.4E-2</v>
      </c>
      <c r="G47" s="2">
        <v>0.02</v>
      </c>
      <c r="H47" s="2">
        <v>1.4E-2</v>
      </c>
      <c r="I47" s="3">
        <v>0</v>
      </c>
      <c r="J47" s="1"/>
      <c r="K47" s="1"/>
      <c r="L47" s="1"/>
    </row>
    <row r="48" spans="1:24" x14ac:dyDescent="0.25">
      <c r="A48" s="2">
        <v>0.51900000000000002</v>
      </c>
      <c r="B48" s="2">
        <v>0.14399999999999999</v>
      </c>
      <c r="C48" s="2">
        <v>0.11700000000000001</v>
      </c>
      <c r="D48" s="2">
        <v>6.3E-2</v>
      </c>
      <c r="E48" s="2">
        <v>3.6999999999999998E-2</v>
      </c>
      <c r="F48" s="2">
        <v>2.4E-2</v>
      </c>
      <c r="G48" s="2">
        <v>0.02</v>
      </c>
      <c r="H48" s="2">
        <v>1.4E-2</v>
      </c>
      <c r="I48" s="3">
        <v>0</v>
      </c>
      <c r="J48" s="1"/>
      <c r="K48" s="1"/>
      <c r="L48" s="1"/>
    </row>
    <row r="49" spans="1:12" x14ac:dyDescent="0.25">
      <c r="A49" s="2">
        <v>0.51900000000000002</v>
      </c>
      <c r="B49" s="2">
        <v>0.14399999999999999</v>
      </c>
      <c r="C49" s="2">
        <v>0.11700000000000001</v>
      </c>
      <c r="D49" s="2">
        <v>6.3E-2</v>
      </c>
      <c r="E49" s="2">
        <v>3.6999999999999998E-2</v>
      </c>
      <c r="F49" s="2">
        <v>2.4E-2</v>
      </c>
      <c r="G49" s="2">
        <v>0.02</v>
      </c>
      <c r="H49" s="2">
        <v>1.4E-2</v>
      </c>
      <c r="I49" s="3">
        <v>0</v>
      </c>
      <c r="J49" s="1"/>
      <c r="K49" s="1"/>
      <c r="L49" s="1"/>
    </row>
    <row r="50" spans="1:12" x14ac:dyDescent="0.25">
      <c r="A50" s="2">
        <v>0.51900000000000002</v>
      </c>
      <c r="B50" s="2">
        <v>0.14399999999999999</v>
      </c>
      <c r="C50" s="2">
        <v>0.11700000000000001</v>
      </c>
      <c r="D50" s="2">
        <v>6.3E-2</v>
      </c>
      <c r="E50" s="2">
        <v>3.6999999999999998E-2</v>
      </c>
      <c r="F50" s="2">
        <v>2.4E-2</v>
      </c>
      <c r="G50" s="2">
        <v>0.02</v>
      </c>
      <c r="H50" s="2">
        <v>1.4E-2</v>
      </c>
      <c r="I50" s="3">
        <v>0</v>
      </c>
      <c r="J50" s="1"/>
      <c r="K50" s="1"/>
      <c r="L50" s="1"/>
    </row>
    <row r="51" spans="1:12" x14ac:dyDescent="0.25">
      <c r="A51" s="2">
        <v>0.51900000000000002</v>
      </c>
      <c r="B51" s="2">
        <v>0.14399999999999999</v>
      </c>
      <c r="C51" s="2">
        <v>0.11700000000000001</v>
      </c>
      <c r="D51" s="2">
        <v>6.3E-2</v>
      </c>
      <c r="E51" s="2">
        <v>3.6999999999999998E-2</v>
      </c>
      <c r="F51" s="2">
        <v>2.4E-2</v>
      </c>
      <c r="G51" s="2">
        <v>0.02</v>
      </c>
      <c r="H51" s="2">
        <v>1.4E-2</v>
      </c>
      <c r="I51" s="3">
        <v>0</v>
      </c>
      <c r="J51" s="1"/>
      <c r="K51" s="1"/>
      <c r="L51" s="1"/>
    </row>
    <row r="52" spans="1:12" x14ac:dyDescent="0.25">
      <c r="A52" s="2">
        <v>0.51900000000000002</v>
      </c>
      <c r="B52" s="2">
        <v>0.14399999999999999</v>
      </c>
      <c r="C52" s="2">
        <v>0.11700000000000001</v>
      </c>
      <c r="D52" s="2">
        <v>6.3E-2</v>
      </c>
      <c r="E52" s="2">
        <v>3.6999999999999998E-2</v>
      </c>
      <c r="F52" s="2">
        <v>2.4E-2</v>
      </c>
      <c r="G52" s="2">
        <v>0.02</v>
      </c>
      <c r="H52" s="2">
        <v>1.4E-2</v>
      </c>
      <c r="I52" s="3">
        <v>0</v>
      </c>
      <c r="J52" s="1"/>
      <c r="K52" s="1"/>
      <c r="L52" s="1"/>
    </row>
    <row r="53" spans="1:12" x14ac:dyDescent="0.25">
      <c r="A53" s="2">
        <v>0.51900000000000002</v>
      </c>
      <c r="B53" s="2">
        <v>0.14399999999999999</v>
      </c>
      <c r="C53" s="2">
        <v>0.11700000000000001</v>
      </c>
      <c r="D53" s="2">
        <v>6.3E-2</v>
      </c>
      <c r="E53" s="2">
        <v>3.6999999999999998E-2</v>
      </c>
      <c r="F53" s="2">
        <v>2.4E-2</v>
      </c>
      <c r="G53" s="2">
        <v>0.02</v>
      </c>
      <c r="H53" s="2">
        <v>1.4E-2</v>
      </c>
      <c r="I53" s="3">
        <v>0</v>
      </c>
      <c r="J53" s="1"/>
      <c r="K53" s="1"/>
      <c r="L53" s="1"/>
    </row>
    <row r="54" spans="1:12" x14ac:dyDescent="0.25">
      <c r="A54" s="2">
        <v>0.51900000000000002</v>
      </c>
      <c r="B54" s="2">
        <v>0.14399999999999999</v>
      </c>
      <c r="C54" s="2">
        <v>0.11700000000000001</v>
      </c>
      <c r="D54" s="2">
        <v>6.3E-2</v>
      </c>
      <c r="E54" s="2">
        <v>3.6999999999999998E-2</v>
      </c>
      <c r="F54" s="2">
        <v>2.4E-2</v>
      </c>
      <c r="G54" s="2">
        <v>0.02</v>
      </c>
      <c r="H54" s="2">
        <v>1.4E-2</v>
      </c>
      <c r="I54" s="3">
        <v>0</v>
      </c>
      <c r="J54" s="1"/>
      <c r="K54" s="1"/>
      <c r="L54" s="1"/>
    </row>
    <row r="55" spans="1:12" x14ac:dyDescent="0.25">
      <c r="A55" s="2">
        <v>0.51900000000000002</v>
      </c>
      <c r="B55" s="2">
        <v>0.14399999999999999</v>
      </c>
      <c r="C55" s="2">
        <v>0.11700000000000001</v>
      </c>
      <c r="D55" s="2">
        <v>6.3E-2</v>
      </c>
      <c r="E55" s="2">
        <v>3.6999999999999998E-2</v>
      </c>
      <c r="F55" s="2">
        <v>2.4E-2</v>
      </c>
      <c r="G55" s="2">
        <v>0.02</v>
      </c>
      <c r="H55" s="2">
        <v>1.4E-2</v>
      </c>
      <c r="I55" s="3">
        <v>0</v>
      </c>
      <c r="J55" s="1"/>
      <c r="K55" s="1"/>
      <c r="L55" s="1"/>
    </row>
    <row r="56" spans="1:12" x14ac:dyDescent="0.25">
      <c r="A56" s="2">
        <v>0.51900000000000002</v>
      </c>
      <c r="B56" s="2">
        <v>0.14399999999999999</v>
      </c>
      <c r="C56" s="2">
        <v>0.11700000000000001</v>
      </c>
      <c r="D56" s="2">
        <v>6.3E-2</v>
      </c>
      <c r="E56" s="2">
        <v>3.6999999999999998E-2</v>
      </c>
      <c r="F56" s="2">
        <v>2.4E-2</v>
      </c>
      <c r="G56" s="2">
        <v>0.02</v>
      </c>
      <c r="H56" s="2">
        <v>1.4E-2</v>
      </c>
      <c r="I56" s="3">
        <v>0</v>
      </c>
      <c r="J56" s="1"/>
      <c r="K56" s="1"/>
      <c r="L56" s="1"/>
    </row>
    <row r="57" spans="1:12" x14ac:dyDescent="0.25">
      <c r="A57" s="2">
        <v>0.51900000000000002</v>
      </c>
      <c r="B57" s="2">
        <v>0.14399999999999999</v>
      </c>
      <c r="C57" s="2">
        <v>0.11700000000000001</v>
      </c>
      <c r="D57" s="2">
        <v>6.3E-2</v>
      </c>
      <c r="E57" s="2">
        <v>3.6999999999999998E-2</v>
      </c>
      <c r="F57" s="2">
        <v>2.4E-2</v>
      </c>
      <c r="G57" s="2">
        <v>0.02</v>
      </c>
      <c r="H57" s="2">
        <v>1.4E-2</v>
      </c>
      <c r="I57" s="3">
        <v>0</v>
      </c>
      <c r="J57" s="1"/>
      <c r="K57" s="1"/>
      <c r="L57" s="1"/>
    </row>
    <row r="58" spans="1:12" x14ac:dyDescent="0.25">
      <c r="A58" s="2">
        <v>0.51900000000000002</v>
      </c>
      <c r="B58" s="2">
        <v>0.14399999999999999</v>
      </c>
      <c r="C58" s="2">
        <v>0.11700000000000001</v>
      </c>
      <c r="D58" s="2">
        <v>6.3E-2</v>
      </c>
      <c r="E58" s="2">
        <v>3.6999999999999998E-2</v>
      </c>
      <c r="F58" s="2">
        <v>2.4E-2</v>
      </c>
      <c r="G58" s="2">
        <v>0.02</v>
      </c>
      <c r="H58" s="2">
        <v>1.4E-2</v>
      </c>
      <c r="I58" s="3">
        <v>0</v>
      </c>
      <c r="J58" s="1"/>
      <c r="K58" s="1"/>
      <c r="L58" s="1"/>
    </row>
    <row r="59" spans="1:12" x14ac:dyDescent="0.25">
      <c r="A59" s="2">
        <v>0.51900000000000002</v>
      </c>
      <c r="B59" s="2">
        <v>0.14399999999999999</v>
      </c>
      <c r="C59" s="2">
        <v>0.11700000000000001</v>
      </c>
      <c r="D59" s="2">
        <v>6.3E-2</v>
      </c>
      <c r="E59" s="2">
        <v>3.6999999999999998E-2</v>
      </c>
      <c r="F59" s="2">
        <v>2.4E-2</v>
      </c>
      <c r="G59" s="2">
        <v>0.02</v>
      </c>
      <c r="H59" s="2">
        <v>1.4E-2</v>
      </c>
      <c r="I59" s="3">
        <v>0</v>
      </c>
      <c r="J59" s="1"/>
      <c r="K59" s="1"/>
      <c r="L59" s="1"/>
    </row>
    <row r="60" spans="1:12" x14ac:dyDescent="0.25">
      <c r="A60" s="2">
        <v>0.51900000000000002</v>
      </c>
      <c r="B60" s="2">
        <v>0.14399999999999999</v>
      </c>
      <c r="C60" s="2">
        <v>0.11700000000000001</v>
      </c>
      <c r="D60" s="2">
        <v>6.3E-2</v>
      </c>
      <c r="E60" s="2">
        <v>3.6999999999999998E-2</v>
      </c>
      <c r="F60" s="2">
        <v>2.4E-2</v>
      </c>
      <c r="G60" s="2">
        <v>0.02</v>
      </c>
      <c r="H60" s="2">
        <v>1.4E-2</v>
      </c>
      <c r="I60" s="3">
        <v>0</v>
      </c>
      <c r="J60" s="1"/>
      <c r="K60" s="1"/>
      <c r="L60" s="1"/>
    </row>
    <row r="61" spans="1:12" x14ac:dyDescent="0.25">
      <c r="A61" s="2">
        <v>0.51900000000000002</v>
      </c>
      <c r="B61" s="2">
        <v>0.14399999999999999</v>
      </c>
      <c r="C61" s="2">
        <v>0.11700000000000001</v>
      </c>
      <c r="D61" s="2">
        <v>6.3E-2</v>
      </c>
      <c r="E61" s="2">
        <v>3.6999999999999998E-2</v>
      </c>
      <c r="F61" s="2">
        <v>2.4E-2</v>
      </c>
      <c r="G61" s="2">
        <v>0.02</v>
      </c>
      <c r="H61" s="2">
        <v>1.4E-2</v>
      </c>
      <c r="I61" s="3">
        <v>0</v>
      </c>
      <c r="J61" s="1"/>
      <c r="K61" s="1"/>
      <c r="L61" s="1"/>
    </row>
    <row r="62" spans="1:12" x14ac:dyDescent="0.25">
      <c r="A62" s="2">
        <v>0.51900000000000002</v>
      </c>
      <c r="B62" s="2">
        <v>0.14399999999999999</v>
      </c>
      <c r="C62" s="2">
        <v>0.11700000000000001</v>
      </c>
      <c r="D62" s="2">
        <v>6.3E-2</v>
      </c>
      <c r="E62" s="2">
        <v>3.6999999999999998E-2</v>
      </c>
      <c r="F62" s="2">
        <v>2.4E-2</v>
      </c>
      <c r="G62" s="2">
        <v>0.02</v>
      </c>
      <c r="H62" s="2">
        <v>1.4E-2</v>
      </c>
      <c r="I62" s="3">
        <v>0</v>
      </c>
      <c r="J62" s="1"/>
      <c r="K62" s="1"/>
      <c r="L62" s="1"/>
    </row>
    <row r="63" spans="1:12" x14ac:dyDescent="0.25">
      <c r="A63" s="2">
        <v>0.51900000000000002</v>
      </c>
      <c r="B63" s="2">
        <v>0.14399999999999999</v>
      </c>
      <c r="C63" s="2">
        <v>0.11700000000000001</v>
      </c>
      <c r="D63" s="2">
        <v>6.3E-2</v>
      </c>
      <c r="E63" s="2">
        <v>3.6999999999999998E-2</v>
      </c>
      <c r="F63" s="2">
        <v>2.4E-2</v>
      </c>
      <c r="G63" s="2">
        <v>0.02</v>
      </c>
      <c r="H63" s="2">
        <v>1.4E-2</v>
      </c>
      <c r="I63" s="3">
        <v>0</v>
      </c>
      <c r="J63" s="1"/>
      <c r="K63" s="1"/>
      <c r="L63" s="1"/>
    </row>
    <row r="64" spans="1:12" x14ac:dyDescent="0.25">
      <c r="A64" s="2">
        <v>0.51900000000000002</v>
      </c>
      <c r="B64" s="2">
        <v>0.14399999999999999</v>
      </c>
      <c r="C64" s="2">
        <v>0.11700000000000001</v>
      </c>
      <c r="D64" s="2">
        <v>6.3E-2</v>
      </c>
      <c r="E64" s="2">
        <v>3.6999999999999998E-2</v>
      </c>
      <c r="F64" s="2">
        <v>2.4E-2</v>
      </c>
      <c r="G64" s="2">
        <v>0.02</v>
      </c>
      <c r="H64" s="2">
        <v>1.4E-2</v>
      </c>
      <c r="I64" s="3">
        <v>0</v>
      </c>
      <c r="J64" s="1"/>
      <c r="K64" s="1"/>
      <c r="L64" s="1"/>
    </row>
    <row r="65" spans="1:12" x14ac:dyDescent="0.25">
      <c r="A65" s="2">
        <v>0.51900000000000002</v>
      </c>
      <c r="B65" s="2">
        <v>0.14399999999999999</v>
      </c>
      <c r="C65" s="2">
        <v>0.11700000000000001</v>
      </c>
      <c r="D65" s="2">
        <v>6.3E-2</v>
      </c>
      <c r="E65" s="2">
        <v>3.6999999999999998E-2</v>
      </c>
      <c r="F65" s="2">
        <v>2.4E-2</v>
      </c>
      <c r="G65" s="2">
        <v>0.02</v>
      </c>
      <c r="H65" s="2">
        <v>1.4E-2</v>
      </c>
      <c r="I65" s="3">
        <v>0</v>
      </c>
      <c r="J65" s="1"/>
      <c r="K65" s="1"/>
      <c r="L65" s="1"/>
    </row>
    <row r="66" spans="1:12" x14ac:dyDescent="0.25">
      <c r="A66" s="2">
        <v>0.51900000000000002</v>
      </c>
      <c r="B66" s="2">
        <v>0.14399999999999999</v>
      </c>
      <c r="C66" s="2">
        <v>0.11700000000000001</v>
      </c>
      <c r="D66" s="2">
        <v>6.3E-2</v>
      </c>
      <c r="E66" s="2">
        <v>3.6999999999999998E-2</v>
      </c>
      <c r="F66" s="2">
        <v>2.4E-2</v>
      </c>
      <c r="G66" s="2">
        <v>0.02</v>
      </c>
      <c r="H66" s="2">
        <v>1.4E-2</v>
      </c>
      <c r="I66" s="3">
        <v>0</v>
      </c>
      <c r="J66" s="1"/>
      <c r="K66" s="1"/>
      <c r="L66" s="1"/>
    </row>
    <row r="67" spans="1:12" x14ac:dyDescent="0.25">
      <c r="A67" s="2">
        <v>0.51900000000000002</v>
      </c>
      <c r="B67" s="2">
        <v>0.14399999999999999</v>
      </c>
      <c r="C67" s="2">
        <v>0.11700000000000001</v>
      </c>
      <c r="D67" s="2">
        <v>6.3E-2</v>
      </c>
      <c r="E67" s="2">
        <v>3.6999999999999998E-2</v>
      </c>
      <c r="F67" s="2">
        <v>2.4E-2</v>
      </c>
      <c r="G67" s="2">
        <v>0.02</v>
      </c>
      <c r="H67" s="2">
        <v>1.4E-2</v>
      </c>
      <c r="I67" s="3">
        <v>0</v>
      </c>
      <c r="J67" s="1"/>
      <c r="K67" s="1"/>
      <c r="L67" s="1"/>
    </row>
    <row r="68" spans="1:12" x14ac:dyDescent="0.25">
      <c r="A68" s="2">
        <v>0.51900000000000002</v>
      </c>
      <c r="B68" s="2">
        <v>0.14399999999999999</v>
      </c>
      <c r="C68" s="2">
        <v>0.11700000000000001</v>
      </c>
      <c r="D68" s="2">
        <v>6.3E-2</v>
      </c>
      <c r="E68" s="2">
        <v>3.6999999999999998E-2</v>
      </c>
      <c r="F68" s="2">
        <v>2.4E-2</v>
      </c>
      <c r="G68" s="2">
        <v>0.02</v>
      </c>
      <c r="H68" s="2">
        <v>1.4E-2</v>
      </c>
      <c r="I68" s="3">
        <v>0</v>
      </c>
      <c r="J68" s="1"/>
      <c r="K68" s="1"/>
      <c r="L68" s="1"/>
    </row>
    <row r="69" spans="1:12" x14ac:dyDescent="0.25">
      <c r="A69" s="2">
        <v>0.51900000000000002</v>
      </c>
      <c r="B69" s="2">
        <v>0.14399999999999999</v>
      </c>
      <c r="C69" s="2">
        <v>0.11700000000000001</v>
      </c>
      <c r="D69" s="2">
        <v>6.3E-2</v>
      </c>
      <c r="E69" s="2">
        <v>3.6999999999999998E-2</v>
      </c>
      <c r="F69" s="2">
        <v>2.4E-2</v>
      </c>
      <c r="G69" s="2">
        <v>0.02</v>
      </c>
      <c r="H69" s="2">
        <v>1.4E-2</v>
      </c>
      <c r="I69" s="3">
        <v>0</v>
      </c>
      <c r="J69" s="1"/>
      <c r="K69" s="1"/>
      <c r="L69" s="1"/>
    </row>
    <row r="70" spans="1:12" x14ac:dyDescent="0.25">
      <c r="A70" s="2">
        <v>0.51900000000000002</v>
      </c>
      <c r="B70" s="2">
        <v>0.14399999999999999</v>
      </c>
      <c r="C70" s="2">
        <v>0.11700000000000001</v>
      </c>
      <c r="D70" s="2">
        <v>6.3E-2</v>
      </c>
      <c r="E70" s="2">
        <v>3.6999999999999998E-2</v>
      </c>
      <c r="F70" s="2">
        <v>2.4E-2</v>
      </c>
      <c r="G70" s="2">
        <v>0.02</v>
      </c>
      <c r="H70" s="2">
        <v>1.4E-2</v>
      </c>
      <c r="I70" s="3">
        <v>0</v>
      </c>
      <c r="J70" s="1"/>
      <c r="K70" s="1"/>
      <c r="L70" s="1"/>
    </row>
    <row r="71" spans="1:12" x14ac:dyDescent="0.25">
      <c r="A71" s="2">
        <v>0.51900000000000002</v>
      </c>
      <c r="B71" s="2">
        <v>0.14399999999999999</v>
      </c>
      <c r="C71" s="2">
        <v>0.11700000000000001</v>
      </c>
      <c r="D71" s="2">
        <v>6.3E-2</v>
      </c>
      <c r="E71" s="2">
        <v>3.6999999999999998E-2</v>
      </c>
      <c r="F71" s="2">
        <v>2.4E-2</v>
      </c>
      <c r="G71" s="2">
        <v>0.02</v>
      </c>
      <c r="H71" s="2">
        <v>1.4E-2</v>
      </c>
      <c r="I71" s="3">
        <v>0</v>
      </c>
      <c r="J71" s="1"/>
      <c r="K71" s="1"/>
      <c r="L71" s="1"/>
    </row>
    <row r="72" spans="1:12" x14ac:dyDescent="0.25">
      <c r="A72" s="2">
        <v>0.51900000000000002</v>
      </c>
      <c r="B72" s="2">
        <v>0.14399999999999999</v>
      </c>
      <c r="C72" s="2">
        <v>0.11700000000000001</v>
      </c>
      <c r="D72" s="2">
        <v>6.3E-2</v>
      </c>
      <c r="E72" s="2">
        <v>3.6999999999999998E-2</v>
      </c>
      <c r="F72" s="2">
        <v>2.4E-2</v>
      </c>
      <c r="G72" s="2">
        <v>0.02</v>
      </c>
      <c r="H72" s="2">
        <v>1.4E-2</v>
      </c>
      <c r="I72" s="3">
        <v>0</v>
      </c>
      <c r="J72" s="1"/>
      <c r="K72" s="1"/>
      <c r="L72" s="1"/>
    </row>
    <row r="73" spans="1:12" x14ac:dyDescent="0.25">
      <c r="A73" s="2">
        <v>0.51900000000000002</v>
      </c>
      <c r="B73" s="2">
        <v>0.14399999999999999</v>
      </c>
      <c r="C73" s="2">
        <v>0.11700000000000001</v>
      </c>
      <c r="D73" s="2">
        <v>6.3E-2</v>
      </c>
      <c r="E73" s="2">
        <v>3.6999999999999998E-2</v>
      </c>
      <c r="F73" s="2">
        <v>2.4E-2</v>
      </c>
      <c r="G73" s="2">
        <v>0.02</v>
      </c>
      <c r="H73" s="2">
        <v>1.4E-2</v>
      </c>
      <c r="I73" s="3">
        <v>0</v>
      </c>
      <c r="J73" s="1"/>
      <c r="K73" s="1"/>
      <c r="L73" s="1"/>
    </row>
    <row r="74" spans="1:12" x14ac:dyDescent="0.25">
      <c r="A74" s="2">
        <v>0.51900000000000002</v>
      </c>
      <c r="B74" s="2">
        <v>0.14399999999999999</v>
      </c>
      <c r="C74" s="2">
        <v>0.11700000000000001</v>
      </c>
      <c r="D74" s="2">
        <v>6.3E-2</v>
      </c>
      <c r="E74" s="2">
        <v>3.6999999999999998E-2</v>
      </c>
      <c r="F74" s="2">
        <v>2.4E-2</v>
      </c>
      <c r="G74" s="2">
        <v>0.02</v>
      </c>
      <c r="H74" s="2">
        <v>1.4E-2</v>
      </c>
      <c r="I74" s="3">
        <v>0</v>
      </c>
      <c r="J74" s="1"/>
      <c r="K74" s="1"/>
      <c r="L74" s="1"/>
    </row>
    <row r="75" spans="1:12" x14ac:dyDescent="0.25">
      <c r="A75" s="2">
        <v>0.51900000000000002</v>
      </c>
      <c r="B75" s="2">
        <v>0.14399999999999999</v>
      </c>
      <c r="C75" s="2">
        <v>0.11700000000000001</v>
      </c>
      <c r="D75" s="2">
        <v>6.3E-2</v>
      </c>
      <c r="E75" s="2">
        <v>3.6999999999999998E-2</v>
      </c>
      <c r="F75" s="2">
        <v>2.4E-2</v>
      </c>
      <c r="G75" s="2">
        <v>0.02</v>
      </c>
      <c r="H75" s="2">
        <v>1.4E-2</v>
      </c>
      <c r="I75" s="3">
        <v>0</v>
      </c>
      <c r="J75" s="1"/>
      <c r="K75" s="1"/>
      <c r="L75" s="1"/>
    </row>
    <row r="76" spans="1:12" x14ac:dyDescent="0.25">
      <c r="A76" s="2">
        <v>0.51900000000000002</v>
      </c>
      <c r="B76" s="2">
        <v>0.14399999999999999</v>
      </c>
      <c r="C76" s="2">
        <v>0.11700000000000001</v>
      </c>
      <c r="D76" s="2">
        <v>6.3E-2</v>
      </c>
      <c r="E76" s="2">
        <v>3.6999999999999998E-2</v>
      </c>
      <c r="F76" s="2">
        <v>2.4E-2</v>
      </c>
      <c r="G76" s="2">
        <v>0.02</v>
      </c>
      <c r="H76" s="2">
        <v>1.4E-2</v>
      </c>
      <c r="I76" s="3">
        <v>0</v>
      </c>
      <c r="J76" s="1"/>
      <c r="K76" s="1"/>
      <c r="L76" s="1"/>
    </row>
    <row r="77" spans="1:12" x14ac:dyDescent="0.25">
      <c r="A77" s="2">
        <v>0.51900000000000002</v>
      </c>
      <c r="B77" s="2">
        <v>0.14399999999999999</v>
      </c>
      <c r="C77" s="2">
        <v>0.11700000000000001</v>
      </c>
      <c r="D77" s="2">
        <v>6.3E-2</v>
      </c>
      <c r="E77" s="2">
        <v>3.6999999999999998E-2</v>
      </c>
      <c r="F77" s="2">
        <v>2.4E-2</v>
      </c>
      <c r="G77" s="2">
        <v>0.02</v>
      </c>
      <c r="H77" s="2">
        <v>1.4E-2</v>
      </c>
      <c r="I77" s="3">
        <v>0</v>
      </c>
      <c r="J77" s="1"/>
      <c r="K77" s="1"/>
      <c r="L77" s="1"/>
    </row>
    <row r="78" spans="1:12" x14ac:dyDescent="0.25">
      <c r="A78" s="2">
        <v>0.51900000000000002</v>
      </c>
      <c r="B78" s="2">
        <v>0.14399999999999999</v>
      </c>
      <c r="C78" s="2">
        <v>0.11700000000000001</v>
      </c>
      <c r="D78" s="2">
        <v>6.3E-2</v>
      </c>
      <c r="E78" s="2">
        <v>3.6999999999999998E-2</v>
      </c>
      <c r="F78" s="2">
        <v>2.4E-2</v>
      </c>
      <c r="G78" s="2">
        <v>0.02</v>
      </c>
      <c r="H78" s="2">
        <v>1.4E-2</v>
      </c>
      <c r="I78" s="3">
        <v>0</v>
      </c>
      <c r="J78" s="1"/>
      <c r="K78" s="1"/>
      <c r="L78" s="1"/>
    </row>
    <row r="79" spans="1:12" x14ac:dyDescent="0.25">
      <c r="A79" s="2">
        <v>0.51900000000000002</v>
      </c>
      <c r="B79" s="2">
        <v>0.14399999999999999</v>
      </c>
      <c r="C79" s="2">
        <v>0.11700000000000001</v>
      </c>
      <c r="D79" s="2">
        <v>6.3E-2</v>
      </c>
      <c r="E79" s="2">
        <v>3.6999999999999998E-2</v>
      </c>
      <c r="F79" s="2">
        <v>2.4E-2</v>
      </c>
      <c r="G79" s="2">
        <v>0.02</v>
      </c>
      <c r="H79" s="2">
        <v>1.4E-2</v>
      </c>
      <c r="I79" s="3">
        <v>0</v>
      </c>
      <c r="J79" s="1"/>
      <c r="K79" s="1"/>
      <c r="L79" s="1"/>
    </row>
    <row r="80" spans="1:12" x14ac:dyDescent="0.25">
      <c r="A80" s="2">
        <v>0.51900000000000002</v>
      </c>
      <c r="B80" s="2">
        <v>0.14399999999999999</v>
      </c>
      <c r="C80" s="2">
        <v>0.11700000000000001</v>
      </c>
      <c r="D80" s="2">
        <v>6.3E-2</v>
      </c>
      <c r="E80" s="2">
        <v>3.6999999999999998E-2</v>
      </c>
      <c r="F80" s="2">
        <v>2.4E-2</v>
      </c>
      <c r="G80" s="2">
        <v>0.02</v>
      </c>
      <c r="H80" s="2">
        <v>1.4E-2</v>
      </c>
      <c r="I80" s="3">
        <v>0</v>
      </c>
      <c r="J80" s="1"/>
      <c r="K80" s="1"/>
      <c r="L80" s="1"/>
    </row>
    <row r="81" spans="1:12" x14ac:dyDescent="0.25">
      <c r="A81" s="2">
        <v>0.51900000000000002</v>
      </c>
      <c r="B81" s="2">
        <v>0.14399999999999999</v>
      </c>
      <c r="C81" s="2">
        <v>0.11700000000000001</v>
      </c>
      <c r="D81" s="2">
        <v>6.3E-2</v>
      </c>
      <c r="E81" s="2">
        <v>3.6999999999999998E-2</v>
      </c>
      <c r="F81" s="2">
        <v>2.4E-2</v>
      </c>
      <c r="G81" s="2">
        <v>0.02</v>
      </c>
      <c r="H81" s="2">
        <v>1.4E-2</v>
      </c>
      <c r="I81" s="3">
        <v>0</v>
      </c>
      <c r="J81" s="1"/>
      <c r="K81" s="1"/>
      <c r="L81" s="1"/>
    </row>
    <row r="82" spans="1:12" x14ac:dyDescent="0.25">
      <c r="A82" s="2">
        <v>0.51900000000000002</v>
      </c>
      <c r="B82" s="2">
        <v>0.14399999999999999</v>
      </c>
      <c r="C82" s="2">
        <v>0.11700000000000001</v>
      </c>
      <c r="D82" s="2">
        <v>6.3E-2</v>
      </c>
      <c r="E82" s="2">
        <v>3.6999999999999998E-2</v>
      </c>
      <c r="F82" s="2">
        <v>2.4E-2</v>
      </c>
      <c r="G82" s="2">
        <v>0.02</v>
      </c>
      <c r="H82" s="2">
        <v>1.4E-2</v>
      </c>
      <c r="I82" s="3">
        <v>0</v>
      </c>
      <c r="J82" s="1"/>
      <c r="K82" s="1"/>
      <c r="L82" s="1"/>
    </row>
    <row r="83" spans="1:12" x14ac:dyDescent="0.25">
      <c r="A83" s="2">
        <v>0.51900000000000002</v>
      </c>
      <c r="B83" s="2">
        <v>0.14399999999999999</v>
      </c>
      <c r="C83" s="2">
        <v>0.11700000000000001</v>
      </c>
      <c r="D83" s="2">
        <v>6.3E-2</v>
      </c>
      <c r="E83" s="2">
        <v>3.6999999999999998E-2</v>
      </c>
      <c r="F83" s="2">
        <v>2.4E-2</v>
      </c>
      <c r="G83" s="2">
        <v>0.02</v>
      </c>
      <c r="H83" s="2">
        <v>1.4E-2</v>
      </c>
      <c r="I83" s="3">
        <v>0</v>
      </c>
      <c r="J83" s="1"/>
      <c r="K83" s="1"/>
      <c r="L83" s="1"/>
    </row>
    <row r="84" spans="1:12" x14ac:dyDescent="0.25">
      <c r="A84" s="2">
        <v>0.51900000000000002</v>
      </c>
      <c r="B84" s="2">
        <v>0.14399999999999999</v>
      </c>
      <c r="C84" s="2">
        <v>0.11700000000000001</v>
      </c>
      <c r="D84" s="2">
        <v>6.3E-2</v>
      </c>
      <c r="E84" s="2">
        <v>3.6999999999999998E-2</v>
      </c>
      <c r="F84" s="2">
        <v>2.4E-2</v>
      </c>
      <c r="G84" s="2">
        <v>0.02</v>
      </c>
      <c r="H84" s="2">
        <v>1.4E-2</v>
      </c>
      <c r="I84" s="3">
        <v>0</v>
      </c>
      <c r="J84" s="1"/>
      <c r="K84" s="1"/>
      <c r="L8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1D31-21CE-4409-834F-03D09318878C}">
  <dimension ref="A1:X84"/>
  <sheetViews>
    <sheetView zoomScale="70" zoomScaleNormal="70" workbookViewId="0">
      <selection activeCell="X6" sqref="X6"/>
    </sheetView>
  </sheetViews>
  <sheetFormatPr defaultRowHeight="15" x14ac:dyDescent="0.25"/>
  <cols>
    <col min="13" max="13" width="11.140625" customWidth="1"/>
  </cols>
  <sheetData>
    <row r="1" spans="1:24" x14ac:dyDescent="0.25">
      <c r="A1" t="s">
        <v>31</v>
      </c>
      <c r="J1" s="1"/>
      <c r="K1" s="1"/>
      <c r="L1" s="1"/>
    </row>
    <row r="2" spans="1:24" x14ac:dyDescent="0.25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8</v>
      </c>
      <c r="J2" s="12" t="s">
        <v>17</v>
      </c>
      <c r="K2" s="12" t="s">
        <v>10</v>
      </c>
      <c r="L2" s="12" t="s">
        <v>11</v>
      </c>
      <c r="M2" s="18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15</v>
      </c>
      <c r="T2" s="14" t="s">
        <v>9</v>
      </c>
      <c r="U2" s="14" t="s">
        <v>55</v>
      </c>
      <c r="V2" s="14" t="s">
        <v>56</v>
      </c>
      <c r="W2" s="14" t="s">
        <v>57</v>
      </c>
      <c r="X2" s="14" t="s">
        <v>58</v>
      </c>
    </row>
    <row r="3" spans="1:24" x14ac:dyDescent="0.25">
      <c r="A3" s="8">
        <v>0.45800000000000002</v>
      </c>
      <c r="B3" s="8">
        <v>0.14000000000000001</v>
      </c>
      <c r="C3" s="8">
        <v>0.13800000000000001</v>
      </c>
      <c r="D3" s="8">
        <v>6.2E-2</v>
      </c>
      <c r="E3" s="8">
        <v>3.5999999999999997E-2</v>
      </c>
      <c r="F3" s="8">
        <v>3.5000000000000003E-2</v>
      </c>
      <c r="G3" s="8">
        <v>2.5000000000000001E-2</v>
      </c>
      <c r="H3" s="8">
        <v>1.2999999999999999E-2</v>
      </c>
      <c r="I3" s="8">
        <v>0</v>
      </c>
      <c r="J3" s="10">
        <f t="shared" ref="J3:Q18" si="0">SUMSQ(A3-A45)</f>
        <v>2.4999999999999988E-3</v>
      </c>
      <c r="K3" s="10">
        <f t="shared" si="0"/>
        <v>1.9600000000000035E-4</v>
      </c>
      <c r="L3" s="10">
        <f t="shared" si="0"/>
        <v>3.249000000000001E-3</v>
      </c>
      <c r="M3" s="19">
        <f t="shared" si="0"/>
        <v>1.600000000000003E-5</v>
      </c>
      <c r="N3" s="10">
        <f t="shared" si="0"/>
        <v>6.7600000000000017E-4</v>
      </c>
      <c r="O3" s="10">
        <f t="shared" si="0"/>
        <v>9.9999999999998788E-7</v>
      </c>
      <c r="P3" s="10">
        <f t="shared" si="0"/>
        <v>1.5999999999999999E-5</v>
      </c>
      <c r="Q3" s="10">
        <f t="shared" si="0"/>
        <v>9.0000000000000053E-6</v>
      </c>
      <c r="R3" s="10">
        <f>SUM(J3:Q3)</f>
        <v>6.6630000000000023E-3</v>
      </c>
      <c r="S3" s="10">
        <f>SQRT(R3)</f>
        <v>8.1627201348570086E-2</v>
      </c>
      <c r="T3" s="8">
        <v>1</v>
      </c>
      <c r="U3" s="8" t="s">
        <v>59</v>
      </c>
      <c r="V3" s="8">
        <v>17</v>
      </c>
      <c r="W3" s="8">
        <v>18</v>
      </c>
      <c r="X3" s="8">
        <v>35</v>
      </c>
    </row>
    <row r="4" spans="1:24" x14ac:dyDescent="0.25">
      <c r="A4" s="8">
        <v>0.49199999999999999</v>
      </c>
      <c r="B4" s="8">
        <v>0.13300000000000001</v>
      </c>
      <c r="C4" s="8">
        <v>0.11799999999999999</v>
      </c>
      <c r="D4" s="8">
        <v>9.0999999999999998E-2</v>
      </c>
      <c r="E4" s="8">
        <v>5.6000000000000001E-2</v>
      </c>
      <c r="F4" s="8">
        <v>2.5999999999999999E-2</v>
      </c>
      <c r="G4" s="8">
        <v>1.4999999999999999E-2</v>
      </c>
      <c r="H4" s="8">
        <v>1.0999999999999999E-2</v>
      </c>
      <c r="I4" s="8">
        <v>0</v>
      </c>
      <c r="J4" s="10">
        <f t="shared" si="0"/>
        <v>2.5600000000000048E-4</v>
      </c>
      <c r="K4" s="10">
        <f t="shared" si="0"/>
        <v>4.9000000000000087E-5</v>
      </c>
      <c r="L4" s="10">
        <f t="shared" si="0"/>
        <v>1.3689999999999993E-3</v>
      </c>
      <c r="M4" s="19">
        <f t="shared" si="0"/>
        <v>6.2499999999999969E-4</v>
      </c>
      <c r="N4" s="10">
        <f t="shared" si="0"/>
        <v>3.5999999999999981E-5</v>
      </c>
      <c r="O4" s="10">
        <f t="shared" si="0"/>
        <v>9.9999999999999964E-5</v>
      </c>
      <c r="P4" s="10">
        <f t="shared" si="0"/>
        <v>3.6000000000000021E-5</v>
      </c>
      <c r="Q4" s="10">
        <f t="shared" si="0"/>
        <v>2.5000000000000011E-5</v>
      </c>
      <c r="R4" s="10">
        <f t="shared" ref="R4:R42" si="1">SUM(J4:Q4)</f>
        <v>2.4959999999999995E-3</v>
      </c>
      <c r="S4" s="10">
        <f t="shared" ref="S4:S42" si="2">SQRT(R4)</f>
        <v>4.9959983987187179E-2</v>
      </c>
      <c r="T4" s="8">
        <v>22</v>
      </c>
      <c r="U4" s="8" t="s">
        <v>59</v>
      </c>
      <c r="V4" s="8">
        <v>17</v>
      </c>
      <c r="W4" s="8">
        <v>18</v>
      </c>
      <c r="X4" s="8">
        <v>35</v>
      </c>
    </row>
    <row r="5" spans="1:24" x14ac:dyDescent="0.25">
      <c r="A5" s="8">
        <v>0.45400000000000001</v>
      </c>
      <c r="B5" s="8">
        <v>0.184</v>
      </c>
      <c r="C5" s="8">
        <v>0.128</v>
      </c>
      <c r="D5" s="8">
        <v>0.1</v>
      </c>
      <c r="E5" s="8">
        <v>2.8000000000000001E-2</v>
      </c>
      <c r="F5" s="8">
        <v>2.1999999999999999E-2</v>
      </c>
      <c r="G5" s="8">
        <v>1.4E-2</v>
      </c>
      <c r="H5" s="8">
        <v>1.0999999999999999E-2</v>
      </c>
      <c r="I5" s="8">
        <v>0</v>
      </c>
      <c r="J5" s="10">
        <f t="shared" si="0"/>
        <v>2.9159999999999993E-3</v>
      </c>
      <c r="K5" s="10">
        <f t="shared" si="0"/>
        <v>3.3639999999999994E-3</v>
      </c>
      <c r="L5" s="10">
        <f t="shared" si="0"/>
        <v>2.209E-3</v>
      </c>
      <c r="M5" s="19">
        <f t="shared" si="0"/>
        <v>1.1560000000000001E-3</v>
      </c>
      <c r="N5" s="10">
        <f t="shared" si="0"/>
        <v>1.1560000000000001E-3</v>
      </c>
      <c r="O5" s="10">
        <f t="shared" si="0"/>
        <v>1.9599999999999997E-4</v>
      </c>
      <c r="P5" s="10">
        <f t="shared" si="0"/>
        <v>4.9000000000000012E-5</v>
      </c>
      <c r="Q5" s="10">
        <f t="shared" si="0"/>
        <v>2.5000000000000011E-5</v>
      </c>
      <c r="R5" s="10">
        <f t="shared" si="1"/>
        <v>1.1071000000000003E-2</v>
      </c>
      <c r="S5" s="10">
        <f t="shared" si="2"/>
        <v>0.1052188196094216</v>
      </c>
      <c r="T5" s="8">
        <v>23</v>
      </c>
      <c r="U5" s="8" t="s">
        <v>59</v>
      </c>
      <c r="V5" s="8">
        <v>17</v>
      </c>
      <c r="W5" s="8">
        <v>18</v>
      </c>
      <c r="X5" s="8">
        <v>35</v>
      </c>
    </row>
    <row r="6" spans="1:24" x14ac:dyDescent="0.25">
      <c r="A6" s="8">
        <v>0.438</v>
      </c>
      <c r="B6" s="8">
        <v>0.17699999999999999</v>
      </c>
      <c r="C6" s="8">
        <v>0.108</v>
      </c>
      <c r="D6" s="8">
        <v>5.2999999999999999E-2</v>
      </c>
      <c r="E6" s="8">
        <v>4.4999999999999998E-2</v>
      </c>
      <c r="F6" s="8">
        <v>3.3000000000000002E-2</v>
      </c>
      <c r="G6" s="8">
        <v>2.1999999999999999E-2</v>
      </c>
      <c r="H6" s="8">
        <v>1.7000000000000001E-2</v>
      </c>
      <c r="I6" s="8">
        <v>0</v>
      </c>
      <c r="J6" s="10">
        <f t="shared" si="0"/>
        <v>4.9000000000000007E-3</v>
      </c>
      <c r="K6" s="10">
        <f t="shared" si="0"/>
        <v>2.6009999999999991E-3</v>
      </c>
      <c r="L6" s="10">
        <f t="shared" si="0"/>
        <v>7.2899999999999983E-4</v>
      </c>
      <c r="M6" s="19">
        <f t="shared" si="0"/>
        <v>1.6900000000000012E-4</v>
      </c>
      <c r="N6" s="10">
        <f t="shared" si="0"/>
        <v>2.8900000000000003E-4</v>
      </c>
      <c r="O6" s="10">
        <f t="shared" si="0"/>
        <v>8.9999999999999748E-6</v>
      </c>
      <c r="P6" s="10">
        <f t="shared" si="0"/>
        <v>9.9999999999999487E-7</v>
      </c>
      <c r="Q6" s="10">
        <f t="shared" si="0"/>
        <v>1.0000000000000019E-6</v>
      </c>
      <c r="R6" s="10">
        <f t="shared" si="1"/>
        <v>8.6989999999999984E-3</v>
      </c>
      <c r="S6" s="10">
        <f t="shared" si="2"/>
        <v>9.3268429814165943E-2</v>
      </c>
      <c r="T6" s="8">
        <v>24</v>
      </c>
      <c r="U6" s="8" t="s">
        <v>59</v>
      </c>
      <c r="V6" s="8">
        <v>17</v>
      </c>
      <c r="W6" s="8">
        <v>18</v>
      </c>
      <c r="X6" s="8">
        <v>35</v>
      </c>
    </row>
    <row r="7" spans="1:24" x14ac:dyDescent="0.25">
      <c r="A7" s="8">
        <v>0.57599999999999996</v>
      </c>
      <c r="B7" s="8">
        <v>0.128</v>
      </c>
      <c r="C7" s="8">
        <v>0.11</v>
      </c>
      <c r="D7" s="8">
        <v>5.7000000000000002E-2</v>
      </c>
      <c r="E7" s="8">
        <v>5.2999999999999999E-2</v>
      </c>
      <c r="F7" s="8">
        <v>1.6E-2</v>
      </c>
      <c r="G7" s="8">
        <v>1.4999999999999999E-2</v>
      </c>
      <c r="H7" s="8">
        <v>7.0000000000000001E-3</v>
      </c>
      <c r="I7" s="8">
        <v>0</v>
      </c>
      <c r="J7" s="10">
        <f t="shared" si="0"/>
        <v>4.6239999999999927E-3</v>
      </c>
      <c r="K7" s="10">
        <f t="shared" si="0"/>
        <v>4.0000000000000074E-6</v>
      </c>
      <c r="L7" s="10">
        <f t="shared" si="0"/>
        <v>8.4099999999999984E-4</v>
      </c>
      <c r="M7" s="19">
        <f t="shared" si="0"/>
        <v>8.1000000000000017E-5</v>
      </c>
      <c r="N7" s="10">
        <f t="shared" si="0"/>
        <v>8.1000000000000017E-5</v>
      </c>
      <c r="O7" s="10">
        <f t="shared" si="0"/>
        <v>3.9999999999999986E-4</v>
      </c>
      <c r="P7" s="10">
        <f t="shared" si="0"/>
        <v>3.6000000000000021E-5</v>
      </c>
      <c r="Q7" s="10">
        <f t="shared" si="0"/>
        <v>8.1000000000000017E-5</v>
      </c>
      <c r="R7" s="10">
        <f t="shared" si="1"/>
        <v>6.1479999999999937E-3</v>
      </c>
      <c r="S7" s="10">
        <f t="shared" si="2"/>
        <v>7.8409183135650595E-2</v>
      </c>
      <c r="T7" s="8">
        <v>25</v>
      </c>
      <c r="U7" s="8" t="s">
        <v>59</v>
      </c>
      <c r="V7" s="8">
        <v>17</v>
      </c>
      <c r="W7" s="8">
        <v>18</v>
      </c>
      <c r="X7" s="8">
        <v>35</v>
      </c>
    </row>
    <row r="8" spans="1:24" x14ac:dyDescent="0.25">
      <c r="A8" s="8">
        <v>0.48099999999999998</v>
      </c>
      <c r="B8" s="8">
        <v>0.19</v>
      </c>
      <c r="C8" s="8">
        <v>7.6999999999999999E-2</v>
      </c>
      <c r="D8" s="8">
        <v>6.7000000000000004E-2</v>
      </c>
      <c r="E8" s="8">
        <v>0.06</v>
      </c>
      <c r="F8" s="8">
        <v>3.3000000000000002E-2</v>
      </c>
      <c r="G8" s="8">
        <v>1.6E-2</v>
      </c>
      <c r="H8" s="8">
        <v>1.2999999999999999E-2</v>
      </c>
      <c r="I8" s="8">
        <v>0</v>
      </c>
      <c r="J8" s="10">
        <f t="shared" si="0"/>
        <v>7.2900000000000135E-4</v>
      </c>
      <c r="K8" s="10">
        <f t="shared" si="0"/>
        <v>4.0959999999999998E-3</v>
      </c>
      <c r="L8" s="10">
        <f t="shared" si="0"/>
        <v>1.600000000000003E-5</v>
      </c>
      <c r="M8" s="19">
        <f t="shared" si="0"/>
        <v>1.0000000000000019E-6</v>
      </c>
      <c r="N8" s="10">
        <f t="shared" si="0"/>
        <v>4.0000000000000074E-6</v>
      </c>
      <c r="O8" s="10">
        <f t="shared" si="0"/>
        <v>8.9999999999999748E-6</v>
      </c>
      <c r="P8" s="10">
        <f t="shared" si="0"/>
        <v>2.5000000000000011E-5</v>
      </c>
      <c r="Q8" s="10">
        <f t="shared" si="0"/>
        <v>9.0000000000000053E-6</v>
      </c>
      <c r="R8" s="10">
        <f t="shared" si="1"/>
        <v>4.8890000000000019E-3</v>
      </c>
      <c r="S8" s="10">
        <f t="shared" si="2"/>
        <v>6.9921384425653377E-2</v>
      </c>
      <c r="T8" s="8">
        <v>26</v>
      </c>
      <c r="U8" s="8" t="s">
        <v>59</v>
      </c>
      <c r="V8" s="8">
        <v>17</v>
      </c>
      <c r="W8" s="8">
        <v>18</v>
      </c>
      <c r="X8" s="8">
        <v>35</v>
      </c>
    </row>
    <row r="9" spans="1:24" x14ac:dyDescent="0.25">
      <c r="A9" s="8">
        <v>0.499</v>
      </c>
      <c r="B9" s="8">
        <v>0.151</v>
      </c>
      <c r="C9" s="8">
        <v>0.115</v>
      </c>
      <c r="D9" s="8">
        <v>4.7E-2</v>
      </c>
      <c r="E9" s="8">
        <v>3.9E-2</v>
      </c>
      <c r="F9" s="8">
        <v>2.4E-2</v>
      </c>
      <c r="G9" s="8">
        <v>2.1000000000000001E-2</v>
      </c>
      <c r="H9" s="8">
        <v>1.4E-2</v>
      </c>
      <c r="I9" s="8">
        <v>0</v>
      </c>
      <c r="J9" s="10">
        <f t="shared" si="0"/>
        <v>8.1000000000000139E-5</v>
      </c>
      <c r="K9" s="10">
        <f t="shared" si="0"/>
        <v>6.2499999999999969E-4</v>
      </c>
      <c r="L9" s="10">
        <f t="shared" si="0"/>
        <v>1.1560000000000001E-3</v>
      </c>
      <c r="M9" s="19">
        <f t="shared" si="0"/>
        <v>3.610000000000001E-4</v>
      </c>
      <c r="N9" s="10">
        <f t="shared" si="0"/>
        <v>5.2899999999999996E-4</v>
      </c>
      <c r="O9" s="10">
        <f t="shared" si="0"/>
        <v>1.4399999999999992E-4</v>
      </c>
      <c r="P9" s="10">
        <f t="shared" si="0"/>
        <v>0</v>
      </c>
      <c r="Q9" s="10">
        <f t="shared" si="0"/>
        <v>3.9999999999999998E-6</v>
      </c>
      <c r="R9" s="10">
        <f t="shared" si="1"/>
        <v>2.9000000000000002E-3</v>
      </c>
      <c r="S9" s="10">
        <f t="shared" si="2"/>
        <v>5.3851648071345043E-2</v>
      </c>
      <c r="T9" s="8">
        <v>27</v>
      </c>
      <c r="U9" s="8" t="s">
        <v>59</v>
      </c>
      <c r="V9" s="8">
        <v>17</v>
      </c>
      <c r="W9" s="8">
        <v>18</v>
      </c>
      <c r="X9" s="8">
        <v>35</v>
      </c>
    </row>
    <row r="10" spans="1:24" x14ac:dyDescent="0.25">
      <c r="A10" s="8">
        <v>0.60799999999999998</v>
      </c>
      <c r="B10" s="8">
        <v>0.19900000000000001</v>
      </c>
      <c r="C10" s="8">
        <v>0.06</v>
      </c>
      <c r="D10" s="8">
        <v>3.4000000000000002E-2</v>
      </c>
      <c r="E10" s="8">
        <v>2.1000000000000001E-2</v>
      </c>
      <c r="F10" s="8">
        <v>1.7000000000000001E-2</v>
      </c>
      <c r="G10" s="8">
        <v>8.9999999999999993E-3</v>
      </c>
      <c r="H10" s="8">
        <v>6.0000000000000001E-3</v>
      </c>
      <c r="I10" s="8">
        <v>0</v>
      </c>
      <c r="J10" s="10">
        <f t="shared" si="0"/>
        <v>9.999999999999995E-3</v>
      </c>
      <c r="K10" s="10">
        <f t="shared" si="0"/>
        <v>5.3290000000000013E-3</v>
      </c>
      <c r="L10" s="10">
        <f t="shared" si="0"/>
        <v>4.410000000000002E-4</v>
      </c>
      <c r="M10" s="19">
        <f t="shared" si="0"/>
        <v>1.024E-3</v>
      </c>
      <c r="N10" s="10">
        <f t="shared" si="0"/>
        <v>1.6809999999999996E-3</v>
      </c>
      <c r="O10" s="10">
        <f t="shared" si="0"/>
        <v>3.6099999999999983E-4</v>
      </c>
      <c r="P10" s="10">
        <f t="shared" si="0"/>
        <v>1.4400000000000006E-4</v>
      </c>
      <c r="Q10" s="10">
        <f t="shared" si="0"/>
        <v>1E-4</v>
      </c>
      <c r="R10" s="10">
        <f t="shared" si="1"/>
        <v>1.9079999999999996E-2</v>
      </c>
      <c r="S10" s="10">
        <f t="shared" si="2"/>
        <v>0.13813037319865604</v>
      </c>
      <c r="T10" s="8">
        <v>28</v>
      </c>
      <c r="U10" s="8" t="s">
        <v>59</v>
      </c>
      <c r="V10" s="8">
        <v>17</v>
      </c>
      <c r="W10" s="8">
        <v>18</v>
      </c>
      <c r="X10" s="8">
        <v>35</v>
      </c>
    </row>
    <row r="11" spans="1:24" x14ac:dyDescent="0.25">
      <c r="A11" s="8">
        <v>0.47599999999999998</v>
      </c>
      <c r="B11" s="8">
        <v>0.21199999999999999</v>
      </c>
      <c r="C11" s="8">
        <v>6.8000000000000005E-2</v>
      </c>
      <c r="D11" s="8">
        <v>6.5000000000000002E-2</v>
      </c>
      <c r="E11" s="8">
        <v>3.9E-2</v>
      </c>
      <c r="F11" s="8">
        <v>0.03</v>
      </c>
      <c r="G11" s="8">
        <v>2.3E-2</v>
      </c>
      <c r="H11" s="8">
        <v>1.6E-2</v>
      </c>
      <c r="I11" s="8">
        <v>0</v>
      </c>
      <c r="J11" s="10">
        <f t="shared" si="0"/>
        <v>1.0240000000000019E-3</v>
      </c>
      <c r="K11" s="10">
        <f t="shared" si="0"/>
        <v>7.3959999999999989E-3</v>
      </c>
      <c r="L11" s="10">
        <f t="shared" si="0"/>
        <v>1.6899999999999993E-4</v>
      </c>
      <c r="M11" s="19">
        <f t="shared" si="0"/>
        <v>1.0000000000000019E-6</v>
      </c>
      <c r="N11" s="10">
        <f t="shared" si="0"/>
        <v>5.2899999999999996E-4</v>
      </c>
      <c r="O11" s="10">
        <f t="shared" si="0"/>
        <v>3.5999999999999981E-5</v>
      </c>
      <c r="P11" s="10">
        <f t="shared" si="0"/>
        <v>3.999999999999993E-6</v>
      </c>
      <c r="Q11" s="10">
        <f t="shared" si="0"/>
        <v>0</v>
      </c>
      <c r="R11" s="10">
        <f t="shared" si="1"/>
        <v>9.1590000000000005E-3</v>
      </c>
      <c r="S11" s="10">
        <f t="shared" si="2"/>
        <v>9.5702664539708618E-2</v>
      </c>
      <c r="T11" s="8">
        <v>29</v>
      </c>
      <c r="U11" s="8" t="s">
        <v>59</v>
      </c>
      <c r="V11" s="8">
        <v>17</v>
      </c>
      <c r="W11" s="8">
        <v>18</v>
      </c>
      <c r="X11" s="8">
        <v>35</v>
      </c>
    </row>
    <row r="12" spans="1:24" x14ac:dyDescent="0.25">
      <c r="A12" s="8">
        <v>0.41899999999999998</v>
      </c>
      <c r="B12" s="8">
        <v>0.23899999999999999</v>
      </c>
      <c r="C12" s="8">
        <v>6.7000000000000004E-2</v>
      </c>
      <c r="D12" s="8">
        <v>6.3E-2</v>
      </c>
      <c r="E12" s="8">
        <v>3.2000000000000001E-2</v>
      </c>
      <c r="F12" s="8">
        <v>3.2000000000000001E-2</v>
      </c>
      <c r="G12" s="8">
        <v>2.7E-2</v>
      </c>
      <c r="H12" s="8">
        <v>1.7999999999999999E-2</v>
      </c>
      <c r="I12" s="8">
        <v>0</v>
      </c>
      <c r="J12" s="10">
        <f t="shared" si="0"/>
        <v>7.9210000000000044E-3</v>
      </c>
      <c r="K12" s="10">
        <f t="shared" si="0"/>
        <v>1.2768999999999997E-2</v>
      </c>
      <c r="L12" s="10">
        <f t="shared" si="0"/>
        <v>1.9599999999999997E-4</v>
      </c>
      <c r="M12" s="19">
        <f t="shared" si="0"/>
        <v>9.0000000000000155E-6</v>
      </c>
      <c r="N12" s="10">
        <f t="shared" si="0"/>
        <v>8.9999999999999998E-4</v>
      </c>
      <c r="O12" s="10">
        <f t="shared" si="0"/>
        <v>1.5999999999999972E-5</v>
      </c>
      <c r="P12" s="10">
        <f t="shared" si="0"/>
        <v>3.5999999999999981E-5</v>
      </c>
      <c r="Q12" s="10">
        <f t="shared" si="0"/>
        <v>3.999999999999993E-6</v>
      </c>
      <c r="R12" s="10">
        <f t="shared" si="1"/>
        <v>2.1850999999999999E-2</v>
      </c>
      <c r="S12" s="10">
        <f t="shared" si="2"/>
        <v>0.14782083750270122</v>
      </c>
      <c r="T12" s="8">
        <v>30</v>
      </c>
      <c r="U12" s="8" t="s">
        <v>59</v>
      </c>
      <c r="V12" s="8">
        <v>17</v>
      </c>
      <c r="W12" s="8">
        <v>18</v>
      </c>
      <c r="X12" s="8">
        <v>35</v>
      </c>
    </row>
    <row r="13" spans="1:24" x14ac:dyDescent="0.25">
      <c r="A13" s="8">
        <v>0.4</v>
      </c>
      <c r="B13" s="8">
        <v>0.20100000000000001</v>
      </c>
      <c r="C13" s="8">
        <v>9.6000000000000002E-2</v>
      </c>
      <c r="D13" s="8">
        <v>6.4000000000000001E-2</v>
      </c>
      <c r="E13" s="8">
        <v>5.3999999999999999E-2</v>
      </c>
      <c r="F13" s="8">
        <v>3.5999999999999997E-2</v>
      </c>
      <c r="G13" s="8">
        <v>0.03</v>
      </c>
      <c r="H13" s="8">
        <v>1.9E-2</v>
      </c>
      <c r="I13" s="8">
        <v>0</v>
      </c>
      <c r="J13" s="10">
        <f t="shared" si="0"/>
        <v>1.1663999999999997E-2</v>
      </c>
      <c r="K13" s="10">
        <f t="shared" si="0"/>
        <v>5.6250000000000015E-3</v>
      </c>
      <c r="L13" s="10">
        <f t="shared" si="0"/>
        <v>2.2499999999999999E-4</v>
      </c>
      <c r="M13" s="19">
        <f t="shared" si="0"/>
        <v>4.0000000000000074E-6</v>
      </c>
      <c r="N13" s="10">
        <f t="shared" si="0"/>
        <v>6.3999999999999997E-5</v>
      </c>
      <c r="O13" s="10">
        <f t="shared" si="0"/>
        <v>0</v>
      </c>
      <c r="P13" s="10">
        <f t="shared" si="0"/>
        <v>8.0999999999999963E-5</v>
      </c>
      <c r="Q13" s="10">
        <f t="shared" si="0"/>
        <v>8.9999999999999951E-6</v>
      </c>
      <c r="R13" s="10">
        <f t="shared" si="1"/>
        <v>1.7672E-2</v>
      </c>
      <c r="S13" s="10">
        <f t="shared" si="2"/>
        <v>0.13293607486307094</v>
      </c>
      <c r="T13" s="8">
        <v>31</v>
      </c>
      <c r="U13" s="8" t="s">
        <v>59</v>
      </c>
      <c r="V13" s="8">
        <v>17</v>
      </c>
      <c r="W13" s="8">
        <v>18</v>
      </c>
      <c r="X13" s="8">
        <v>35</v>
      </c>
    </row>
    <row r="14" spans="1:24" x14ac:dyDescent="0.25">
      <c r="A14" s="8">
        <v>0.35299999999999998</v>
      </c>
      <c r="B14" s="8">
        <v>0.24199999999999999</v>
      </c>
      <c r="C14" s="8">
        <v>0.157</v>
      </c>
      <c r="D14" s="8">
        <v>5.6000000000000001E-2</v>
      </c>
      <c r="E14" s="8">
        <v>4.5999999999999999E-2</v>
      </c>
      <c r="F14" s="8">
        <v>0.03</v>
      </c>
      <c r="G14" s="8">
        <v>0.02</v>
      </c>
      <c r="H14" s="8">
        <v>1.9E-2</v>
      </c>
      <c r="I14" s="8">
        <v>0</v>
      </c>
      <c r="J14" s="10">
        <f t="shared" si="0"/>
        <v>2.4025000000000008E-2</v>
      </c>
      <c r="K14" s="10">
        <f t="shared" si="0"/>
        <v>1.3455999999999997E-2</v>
      </c>
      <c r="L14" s="10">
        <f t="shared" si="0"/>
        <v>5.7759999999999999E-3</v>
      </c>
      <c r="M14" s="19">
        <f t="shared" si="0"/>
        <v>1.0000000000000005E-4</v>
      </c>
      <c r="N14" s="10">
        <f t="shared" si="0"/>
        <v>2.5599999999999999E-4</v>
      </c>
      <c r="O14" s="10">
        <f t="shared" si="0"/>
        <v>3.5999999999999981E-5</v>
      </c>
      <c r="P14" s="10">
        <f t="shared" si="0"/>
        <v>1.0000000000000019E-6</v>
      </c>
      <c r="Q14" s="10">
        <f t="shared" si="0"/>
        <v>8.9999999999999951E-6</v>
      </c>
      <c r="R14" s="10">
        <f t="shared" si="1"/>
        <v>4.365900000000001E-2</v>
      </c>
      <c r="S14" s="10">
        <f t="shared" si="2"/>
        <v>0.20894736179239021</v>
      </c>
      <c r="T14" s="8">
        <v>32</v>
      </c>
      <c r="U14" s="8" t="s">
        <v>59</v>
      </c>
      <c r="V14" s="8">
        <v>17</v>
      </c>
      <c r="W14" s="8">
        <v>18</v>
      </c>
      <c r="X14" s="8">
        <v>35</v>
      </c>
    </row>
    <row r="15" spans="1:24" x14ac:dyDescent="0.25">
      <c r="A15" s="8">
        <v>0.53900000000000003</v>
      </c>
      <c r="B15" s="8">
        <v>0.161</v>
      </c>
      <c r="C15" s="8">
        <v>0.11</v>
      </c>
      <c r="D15" s="8">
        <v>0.06</v>
      </c>
      <c r="E15" s="8">
        <v>3.2000000000000001E-2</v>
      </c>
      <c r="F15" s="8">
        <v>2.1999999999999999E-2</v>
      </c>
      <c r="G15" s="8">
        <v>1.9E-2</v>
      </c>
      <c r="H15" s="8">
        <v>8.0000000000000002E-3</v>
      </c>
      <c r="I15" s="8">
        <v>0</v>
      </c>
      <c r="J15" s="10">
        <f t="shared" si="0"/>
        <v>9.6100000000000167E-4</v>
      </c>
      <c r="K15" s="10">
        <f t="shared" si="0"/>
        <v>1.2250000000000002E-3</v>
      </c>
      <c r="L15" s="10">
        <f t="shared" si="0"/>
        <v>8.4099999999999984E-4</v>
      </c>
      <c r="M15" s="19">
        <f t="shared" si="0"/>
        <v>3.6000000000000062E-5</v>
      </c>
      <c r="N15" s="10">
        <f t="shared" si="0"/>
        <v>8.9999999999999998E-4</v>
      </c>
      <c r="O15" s="10">
        <f t="shared" si="0"/>
        <v>1.9599999999999997E-4</v>
      </c>
      <c r="P15" s="10">
        <f t="shared" si="0"/>
        <v>4.0000000000000074E-6</v>
      </c>
      <c r="Q15" s="10">
        <f t="shared" si="0"/>
        <v>6.3999999999999997E-5</v>
      </c>
      <c r="R15" s="10">
        <f t="shared" si="1"/>
        <v>4.2270000000000007E-3</v>
      </c>
      <c r="S15" s="10">
        <f t="shared" si="2"/>
        <v>6.5015382795150872E-2</v>
      </c>
      <c r="T15" s="8">
        <v>33</v>
      </c>
      <c r="U15" s="8" t="s">
        <v>59</v>
      </c>
      <c r="V15" s="8">
        <v>17</v>
      </c>
      <c r="W15" s="8">
        <v>18</v>
      </c>
      <c r="X15" s="8">
        <v>35</v>
      </c>
    </row>
    <row r="16" spans="1:24" x14ac:dyDescent="0.25">
      <c r="A16" s="8">
        <v>0.29699999999999999</v>
      </c>
      <c r="B16" s="8">
        <v>0.13800000000000001</v>
      </c>
      <c r="C16" s="8">
        <v>0.113</v>
      </c>
      <c r="D16" s="8">
        <v>8.5999999999999993E-2</v>
      </c>
      <c r="E16" s="8">
        <v>5.8000000000000003E-2</v>
      </c>
      <c r="F16" s="8">
        <v>4.3999999999999997E-2</v>
      </c>
      <c r="G16" s="8">
        <v>3.9E-2</v>
      </c>
      <c r="H16" s="8">
        <v>3.5999999999999997E-2</v>
      </c>
      <c r="I16" s="8">
        <v>0</v>
      </c>
      <c r="J16" s="10">
        <f t="shared" si="0"/>
        <v>4.4521000000000012E-2</v>
      </c>
      <c r="K16" s="10">
        <f t="shared" si="0"/>
        <v>1.4400000000000025E-4</v>
      </c>
      <c r="L16" s="10">
        <f t="shared" si="0"/>
        <v>1.024E-3</v>
      </c>
      <c r="M16" s="19">
        <f t="shared" si="0"/>
        <v>3.9999999999999959E-4</v>
      </c>
      <c r="N16" s="10">
        <f t="shared" si="0"/>
        <v>1.5999999999999972E-5</v>
      </c>
      <c r="O16" s="10">
        <f t="shared" si="0"/>
        <v>6.3999999999999997E-5</v>
      </c>
      <c r="P16" s="10">
        <f t="shared" si="0"/>
        <v>3.2399999999999996E-4</v>
      </c>
      <c r="Q16" s="10">
        <f t="shared" si="0"/>
        <v>3.9999999999999986E-4</v>
      </c>
      <c r="R16" s="10">
        <f t="shared" si="1"/>
        <v>4.6893000000000004E-2</v>
      </c>
      <c r="S16" s="10">
        <f t="shared" si="2"/>
        <v>0.21654791617561228</v>
      </c>
      <c r="T16" s="8">
        <v>34</v>
      </c>
      <c r="U16" s="8" t="s">
        <v>59</v>
      </c>
      <c r="V16" s="8">
        <v>17</v>
      </c>
      <c r="W16" s="8">
        <v>18</v>
      </c>
      <c r="X16" s="8">
        <v>35</v>
      </c>
    </row>
    <row r="17" spans="1:24" x14ac:dyDescent="0.25">
      <c r="A17" s="8">
        <v>0.45600000000000002</v>
      </c>
      <c r="B17" s="8">
        <v>0.22500000000000001</v>
      </c>
      <c r="C17" s="8">
        <v>0.13200000000000001</v>
      </c>
      <c r="D17" s="8">
        <v>4.9000000000000002E-2</v>
      </c>
      <c r="E17" s="8">
        <v>3.5000000000000003E-2</v>
      </c>
      <c r="F17" s="8">
        <v>2.1000000000000001E-2</v>
      </c>
      <c r="G17" s="8">
        <v>1.2999999999999999E-2</v>
      </c>
      <c r="H17" s="8">
        <v>8.9999999999999993E-3</v>
      </c>
      <c r="I17" s="8">
        <v>0</v>
      </c>
      <c r="J17" s="10">
        <f t="shared" si="0"/>
        <v>2.7039999999999989E-3</v>
      </c>
      <c r="K17" s="10">
        <f t="shared" si="0"/>
        <v>9.8010000000000007E-3</v>
      </c>
      <c r="L17" s="10">
        <f t="shared" si="0"/>
        <v>2.6010000000000004E-3</v>
      </c>
      <c r="M17" s="19">
        <f t="shared" si="0"/>
        <v>2.8900000000000003E-4</v>
      </c>
      <c r="N17" s="10">
        <f t="shared" si="0"/>
        <v>7.2899999999999983E-4</v>
      </c>
      <c r="O17" s="10">
        <f t="shared" si="0"/>
        <v>2.2499999999999989E-4</v>
      </c>
      <c r="P17" s="10">
        <f t="shared" si="0"/>
        <v>6.4000000000000024E-5</v>
      </c>
      <c r="Q17" s="10">
        <f t="shared" si="0"/>
        <v>4.9000000000000012E-5</v>
      </c>
      <c r="R17" s="10">
        <f t="shared" si="1"/>
        <v>1.6462000000000001E-2</v>
      </c>
      <c r="S17" s="10">
        <f t="shared" si="2"/>
        <v>0.12830432572598635</v>
      </c>
      <c r="T17" s="8">
        <v>35</v>
      </c>
      <c r="U17" s="8" t="s">
        <v>59</v>
      </c>
      <c r="V17" s="8">
        <v>17</v>
      </c>
      <c r="W17" s="8">
        <v>18</v>
      </c>
      <c r="X17" s="8">
        <v>35</v>
      </c>
    </row>
    <row r="18" spans="1:24" x14ac:dyDescent="0.25">
      <c r="A18" s="22">
        <v>0.39400000000000002</v>
      </c>
      <c r="B18" s="22">
        <v>0.28000000000000003</v>
      </c>
      <c r="C18" s="22">
        <v>8.5000000000000006E-2</v>
      </c>
      <c r="D18" s="22">
        <v>5.8999999999999997E-2</v>
      </c>
      <c r="E18" s="22">
        <v>3.2000000000000001E-2</v>
      </c>
      <c r="F18" s="22">
        <v>2.9000000000000001E-2</v>
      </c>
      <c r="G18" s="22">
        <v>2.1999999999999999E-2</v>
      </c>
      <c r="H18" s="22">
        <v>1.7999999999999999E-2</v>
      </c>
      <c r="I18" s="22">
        <v>0</v>
      </c>
      <c r="J18" s="7">
        <f t="shared" si="0"/>
        <v>1.2995999999999997E-2</v>
      </c>
      <c r="K18" s="7">
        <f t="shared" si="0"/>
        <v>2.3716000000000008E-2</v>
      </c>
      <c r="L18" s="7">
        <f t="shared" si="0"/>
        <v>1.600000000000003E-5</v>
      </c>
      <c r="M18" s="23">
        <f t="shared" si="0"/>
        <v>4.9000000000000087E-5</v>
      </c>
      <c r="N18" s="7">
        <f t="shared" si="0"/>
        <v>8.9999999999999998E-4</v>
      </c>
      <c r="O18" s="7">
        <f t="shared" si="0"/>
        <v>4.8999999999999944E-5</v>
      </c>
      <c r="P18" s="7">
        <f t="shared" si="0"/>
        <v>9.9999999999999487E-7</v>
      </c>
      <c r="Q18" s="7">
        <f t="shared" si="0"/>
        <v>3.999999999999993E-6</v>
      </c>
      <c r="R18" s="7">
        <f t="shared" si="1"/>
        <v>3.7731000000000008E-2</v>
      </c>
      <c r="S18" s="7">
        <f t="shared" si="2"/>
        <v>0.19424469104714293</v>
      </c>
      <c r="T18" s="22">
        <v>36</v>
      </c>
      <c r="U18" s="22" t="s">
        <v>60</v>
      </c>
      <c r="V18" s="22">
        <v>17</v>
      </c>
      <c r="W18" s="22">
        <v>18</v>
      </c>
      <c r="X18" s="22">
        <v>35</v>
      </c>
    </row>
    <row r="19" spans="1:24" x14ac:dyDescent="0.25">
      <c r="A19" s="22">
        <v>0.52100000000000002</v>
      </c>
      <c r="B19" s="22">
        <v>0.13</v>
      </c>
      <c r="C19" s="22">
        <v>0.111</v>
      </c>
      <c r="D19" s="22">
        <v>0.06</v>
      </c>
      <c r="E19" s="22">
        <v>0.03</v>
      </c>
      <c r="F19" s="22">
        <v>2.3E-2</v>
      </c>
      <c r="G19" s="22">
        <v>1.7999999999999999E-2</v>
      </c>
      <c r="H19" s="22">
        <v>1.2E-2</v>
      </c>
      <c r="I19" s="22">
        <v>0</v>
      </c>
      <c r="J19" s="7">
        <f t="shared" ref="J19:Q42" si="3">SUMSQ(A19-A61)</f>
        <v>1.6900000000000031E-4</v>
      </c>
      <c r="K19" s="7">
        <f t="shared" si="3"/>
        <v>1.600000000000003E-5</v>
      </c>
      <c r="L19" s="7">
        <f t="shared" si="3"/>
        <v>8.9999999999999998E-4</v>
      </c>
      <c r="M19" s="23">
        <f t="shared" si="3"/>
        <v>3.6000000000000062E-5</v>
      </c>
      <c r="N19" s="7">
        <f t="shared" si="3"/>
        <v>1.024E-3</v>
      </c>
      <c r="O19" s="7">
        <f t="shared" si="3"/>
        <v>1.6899999999999993E-4</v>
      </c>
      <c r="P19" s="7">
        <f t="shared" si="3"/>
        <v>9.0000000000000155E-6</v>
      </c>
      <c r="Q19" s="7">
        <f t="shared" si="3"/>
        <v>1.5999999999999999E-5</v>
      </c>
      <c r="R19" s="7">
        <f t="shared" si="1"/>
        <v>2.3389999999999999E-3</v>
      </c>
      <c r="S19" s="7">
        <f t="shared" si="2"/>
        <v>4.8363209157374985E-2</v>
      </c>
      <c r="T19" s="22">
        <v>37</v>
      </c>
      <c r="U19" s="22" t="s">
        <v>60</v>
      </c>
      <c r="V19" s="22">
        <v>17</v>
      </c>
      <c r="W19" s="22">
        <v>18</v>
      </c>
      <c r="X19" s="22">
        <v>35</v>
      </c>
    </row>
    <row r="20" spans="1:24" x14ac:dyDescent="0.25">
      <c r="A20" s="2">
        <v>0.435</v>
      </c>
      <c r="B20" s="2">
        <v>0.25600000000000001</v>
      </c>
      <c r="C20" s="2">
        <v>0.107</v>
      </c>
      <c r="D20" s="2">
        <v>7.9000000000000001E-2</v>
      </c>
      <c r="E20" s="2">
        <v>2.4E-2</v>
      </c>
      <c r="F20" s="2">
        <v>2.1000000000000001E-2</v>
      </c>
      <c r="G20" s="2">
        <v>1.4E-2</v>
      </c>
      <c r="H20" s="2">
        <v>1.2E-2</v>
      </c>
      <c r="I20" s="2">
        <v>0</v>
      </c>
      <c r="J20" s="7">
        <f t="shared" si="3"/>
        <v>5.3290000000000013E-3</v>
      </c>
      <c r="K20" s="7">
        <f t="shared" si="3"/>
        <v>1.6900000000000002E-2</v>
      </c>
      <c r="L20" s="7">
        <f t="shared" si="3"/>
        <v>6.7599999999999973E-4</v>
      </c>
      <c r="M20" s="20">
        <f t="shared" si="3"/>
        <v>1.6899999999999993E-4</v>
      </c>
      <c r="N20" s="7">
        <f t="shared" si="3"/>
        <v>1.444E-3</v>
      </c>
      <c r="O20" s="7">
        <f t="shared" si="3"/>
        <v>2.2499999999999989E-4</v>
      </c>
      <c r="P20" s="7">
        <f t="shared" si="3"/>
        <v>4.9000000000000012E-5</v>
      </c>
      <c r="Q20" s="7">
        <f t="shared" si="3"/>
        <v>1.5999999999999999E-5</v>
      </c>
      <c r="R20" s="7">
        <f t="shared" si="1"/>
        <v>2.4808E-2</v>
      </c>
      <c r="S20" s="7">
        <f t="shared" si="2"/>
        <v>0.15750555545757744</v>
      </c>
      <c r="T20" s="2">
        <v>38</v>
      </c>
      <c r="U20" s="2" t="s">
        <v>60</v>
      </c>
      <c r="V20" s="2">
        <v>17</v>
      </c>
      <c r="W20" s="2">
        <v>18</v>
      </c>
      <c r="X20" s="2">
        <v>35</v>
      </c>
    </row>
    <row r="21" spans="1:24" x14ac:dyDescent="0.25">
      <c r="A21" s="9">
        <v>0.58399999999999996</v>
      </c>
      <c r="B21" s="9">
        <v>0.153</v>
      </c>
      <c r="C21" s="9">
        <v>0.121</v>
      </c>
      <c r="D21" s="9">
        <v>3.6999999999999998E-2</v>
      </c>
      <c r="E21" s="9">
        <v>2.1999999999999999E-2</v>
      </c>
      <c r="F21" s="9">
        <v>1.6E-2</v>
      </c>
      <c r="G21" s="9">
        <v>1.2E-2</v>
      </c>
      <c r="H21" s="9">
        <v>8.0000000000000002E-3</v>
      </c>
      <c r="I21" s="9">
        <v>0</v>
      </c>
      <c r="J21" s="11">
        <f t="shared" si="3"/>
        <v>5.7759999999999938E-3</v>
      </c>
      <c r="K21" s="11">
        <f t="shared" si="3"/>
        <v>7.2899999999999983E-4</v>
      </c>
      <c r="L21" s="11">
        <f t="shared" si="3"/>
        <v>1.5999999999999994E-3</v>
      </c>
      <c r="M21" s="21">
        <f t="shared" si="3"/>
        <v>8.4100000000000028E-4</v>
      </c>
      <c r="N21" s="11">
        <f t="shared" si="3"/>
        <v>1.6000000000000001E-3</v>
      </c>
      <c r="O21" s="11">
        <f t="shared" si="3"/>
        <v>3.9999999999999986E-4</v>
      </c>
      <c r="P21" s="11">
        <f t="shared" si="3"/>
        <v>8.1000000000000017E-5</v>
      </c>
      <c r="Q21" s="11">
        <f t="shared" si="3"/>
        <v>6.3999999999999997E-5</v>
      </c>
      <c r="R21" s="11">
        <f t="shared" si="1"/>
        <v>1.1090999999999991E-2</v>
      </c>
      <c r="S21" s="11">
        <f t="shared" si="2"/>
        <v>0.10531381675734666</v>
      </c>
      <c r="T21" s="9">
        <v>21</v>
      </c>
      <c r="U21" s="9" t="s">
        <v>59</v>
      </c>
      <c r="V21" s="9">
        <v>17</v>
      </c>
      <c r="W21" s="9">
        <v>18</v>
      </c>
      <c r="X21" s="9">
        <v>35</v>
      </c>
    </row>
    <row r="22" spans="1:24" x14ac:dyDescent="0.25">
      <c r="A22" s="9">
        <v>0.41399999999999998</v>
      </c>
      <c r="B22" s="9">
        <v>0.25800000000000001</v>
      </c>
      <c r="C22" s="9">
        <v>7.2999999999999995E-2</v>
      </c>
      <c r="D22" s="9">
        <v>0.05</v>
      </c>
      <c r="E22" s="9">
        <v>4.8000000000000001E-2</v>
      </c>
      <c r="F22" s="9">
        <v>0.04</v>
      </c>
      <c r="G22" s="9">
        <v>2.1000000000000001E-2</v>
      </c>
      <c r="H22" s="9">
        <v>1.7999999999999999E-2</v>
      </c>
      <c r="I22" s="9">
        <v>0</v>
      </c>
      <c r="J22" s="11">
        <f t="shared" si="3"/>
        <v>8.8360000000000053E-3</v>
      </c>
      <c r="K22" s="11">
        <f t="shared" si="3"/>
        <v>1.7424000000000002E-2</v>
      </c>
      <c r="L22" s="11">
        <f t="shared" si="3"/>
        <v>6.4000000000000119E-5</v>
      </c>
      <c r="M22" s="21">
        <f t="shared" si="3"/>
        <v>2.5599999999999999E-4</v>
      </c>
      <c r="N22" s="11">
        <f t="shared" si="3"/>
        <v>1.9599999999999997E-4</v>
      </c>
      <c r="O22" s="11">
        <f t="shared" si="3"/>
        <v>1.600000000000003E-5</v>
      </c>
      <c r="P22" s="11">
        <f t="shared" si="3"/>
        <v>0</v>
      </c>
      <c r="Q22" s="11">
        <f t="shared" si="3"/>
        <v>3.999999999999993E-6</v>
      </c>
      <c r="R22" s="11">
        <f t="shared" si="1"/>
        <v>2.6796000000000004E-2</v>
      </c>
      <c r="S22" s="11">
        <f t="shared" si="2"/>
        <v>0.16369483803712323</v>
      </c>
      <c r="T22" s="9">
        <v>20</v>
      </c>
      <c r="U22" s="9" t="s">
        <v>59</v>
      </c>
      <c r="V22" s="9">
        <v>17</v>
      </c>
      <c r="W22" s="9">
        <v>18</v>
      </c>
      <c r="X22" s="9">
        <v>35</v>
      </c>
    </row>
    <row r="23" spans="1:24" x14ac:dyDescent="0.25">
      <c r="A23" s="9">
        <v>0.46100000000000002</v>
      </c>
      <c r="B23" s="9">
        <v>0.17100000000000001</v>
      </c>
      <c r="C23" s="9">
        <v>0.11700000000000001</v>
      </c>
      <c r="D23" s="9">
        <v>0.106</v>
      </c>
      <c r="E23" s="9">
        <v>3.1E-2</v>
      </c>
      <c r="F23" s="9">
        <v>2.9000000000000001E-2</v>
      </c>
      <c r="G23" s="9">
        <v>1.2999999999999999E-2</v>
      </c>
      <c r="H23" s="9">
        <v>0.01</v>
      </c>
      <c r="I23" s="9">
        <v>1</v>
      </c>
      <c r="J23" s="11">
        <f t="shared" si="3"/>
        <v>2.2089999999999987E-3</v>
      </c>
      <c r="K23" s="11">
        <f t="shared" si="3"/>
        <v>2.0250000000000012E-3</v>
      </c>
      <c r="L23" s="11">
        <f t="shared" si="3"/>
        <v>1.2960000000000003E-3</v>
      </c>
      <c r="M23" s="21">
        <f t="shared" si="3"/>
        <v>1.5999999999999994E-3</v>
      </c>
      <c r="N23" s="11">
        <f t="shared" si="3"/>
        <v>9.6099999999999994E-4</v>
      </c>
      <c r="O23" s="11">
        <f t="shared" si="3"/>
        <v>4.8999999999999944E-5</v>
      </c>
      <c r="P23" s="11">
        <f t="shared" si="3"/>
        <v>6.4000000000000024E-5</v>
      </c>
      <c r="Q23" s="11">
        <f t="shared" si="3"/>
        <v>3.6000000000000001E-5</v>
      </c>
      <c r="R23" s="11">
        <f t="shared" si="1"/>
        <v>8.2399999999999991E-3</v>
      </c>
      <c r="S23" s="11">
        <f t="shared" si="2"/>
        <v>9.0774445743281737E-2</v>
      </c>
      <c r="T23" s="9">
        <v>19</v>
      </c>
      <c r="U23" s="9" t="s">
        <v>59</v>
      </c>
      <c r="V23" s="9">
        <v>17</v>
      </c>
      <c r="W23" s="9">
        <v>18</v>
      </c>
      <c r="X23" s="9">
        <v>35</v>
      </c>
    </row>
    <row r="24" spans="1:24" x14ac:dyDescent="0.25">
      <c r="A24" s="9">
        <v>0.40300000000000002</v>
      </c>
      <c r="B24" s="9">
        <v>0.25</v>
      </c>
      <c r="C24" s="9">
        <v>0.13300000000000001</v>
      </c>
      <c r="D24" s="9">
        <v>4.2000000000000003E-2</v>
      </c>
      <c r="E24" s="9">
        <v>3.1E-2</v>
      </c>
      <c r="F24" s="9">
        <v>2.8000000000000001E-2</v>
      </c>
      <c r="G24" s="9">
        <v>2.4E-2</v>
      </c>
      <c r="H24" s="9">
        <v>1.4E-2</v>
      </c>
      <c r="I24" s="9">
        <v>1</v>
      </c>
      <c r="J24" s="11">
        <f t="shared" si="3"/>
        <v>1.1024999999999997E-2</v>
      </c>
      <c r="K24" s="11">
        <f t="shared" si="3"/>
        <v>1.5375999999999999E-2</v>
      </c>
      <c r="L24" s="11">
        <f t="shared" si="3"/>
        <v>2.7040000000000007E-3</v>
      </c>
      <c r="M24" s="21">
        <f t="shared" si="3"/>
        <v>5.7600000000000001E-4</v>
      </c>
      <c r="N24" s="11">
        <f t="shared" si="3"/>
        <v>9.6099999999999994E-4</v>
      </c>
      <c r="O24" s="11">
        <f t="shared" si="3"/>
        <v>6.3999999999999943E-5</v>
      </c>
      <c r="P24" s="11">
        <f t="shared" si="3"/>
        <v>8.9999999999999951E-6</v>
      </c>
      <c r="Q24" s="11">
        <f t="shared" si="3"/>
        <v>3.9999999999999998E-6</v>
      </c>
      <c r="R24" s="11">
        <f t="shared" si="1"/>
        <v>3.0718999999999996E-2</v>
      </c>
      <c r="S24" s="11">
        <f t="shared" si="2"/>
        <v>0.17526836565678358</v>
      </c>
      <c r="T24" s="9">
        <v>9</v>
      </c>
      <c r="U24" s="9" t="s">
        <v>59</v>
      </c>
      <c r="V24" s="9">
        <v>17</v>
      </c>
      <c r="W24" s="9">
        <v>18</v>
      </c>
      <c r="X24" s="9">
        <v>35</v>
      </c>
    </row>
    <row r="25" spans="1:24" x14ac:dyDescent="0.25">
      <c r="A25" s="9">
        <v>0.38100000000000001</v>
      </c>
      <c r="B25" s="9">
        <v>0.30299999999999999</v>
      </c>
      <c r="C25" s="9">
        <v>0.13400000000000001</v>
      </c>
      <c r="D25" s="9">
        <v>4.2999999999999997E-2</v>
      </c>
      <c r="E25" s="9">
        <v>2.4E-2</v>
      </c>
      <c r="F25" s="9">
        <v>2.1000000000000001E-2</v>
      </c>
      <c r="G25" s="9">
        <v>1.7999999999999999E-2</v>
      </c>
      <c r="H25" s="9">
        <v>1.4E-2</v>
      </c>
      <c r="I25" s="9">
        <v>1</v>
      </c>
      <c r="J25" s="11">
        <f t="shared" si="3"/>
        <v>1.6129000000000001E-2</v>
      </c>
      <c r="K25" s="11">
        <f t="shared" si="3"/>
        <v>3.1328999999999996E-2</v>
      </c>
      <c r="L25" s="11">
        <f t="shared" si="3"/>
        <v>2.8090000000000007E-3</v>
      </c>
      <c r="M25" s="21">
        <f t="shared" si="3"/>
        <v>5.2900000000000028E-4</v>
      </c>
      <c r="N25" s="11">
        <f t="shared" si="3"/>
        <v>1.444E-3</v>
      </c>
      <c r="O25" s="11">
        <f t="shared" si="3"/>
        <v>2.2499999999999989E-4</v>
      </c>
      <c r="P25" s="11">
        <f t="shared" si="3"/>
        <v>9.0000000000000155E-6</v>
      </c>
      <c r="Q25" s="11">
        <f t="shared" si="3"/>
        <v>3.9999999999999998E-6</v>
      </c>
      <c r="R25" s="11">
        <f t="shared" si="1"/>
        <v>5.2478000000000004E-2</v>
      </c>
      <c r="S25" s="11">
        <f t="shared" si="2"/>
        <v>0.22908077178148323</v>
      </c>
      <c r="T25" s="9">
        <v>2</v>
      </c>
      <c r="U25" s="9" t="s">
        <v>59</v>
      </c>
      <c r="V25" s="9">
        <v>17</v>
      </c>
      <c r="W25" s="9">
        <v>18</v>
      </c>
      <c r="X25" s="9">
        <v>35</v>
      </c>
    </row>
    <row r="26" spans="1:24" x14ac:dyDescent="0.25">
      <c r="A26" s="9">
        <v>0.33</v>
      </c>
      <c r="B26" s="9">
        <v>0.156</v>
      </c>
      <c r="C26" s="9">
        <v>0.114</v>
      </c>
      <c r="D26" s="9">
        <v>9.6000000000000002E-2</v>
      </c>
      <c r="E26" s="9">
        <v>5.8000000000000003E-2</v>
      </c>
      <c r="F26" s="9">
        <v>4.4999999999999998E-2</v>
      </c>
      <c r="G26" s="9">
        <v>3.4000000000000002E-2</v>
      </c>
      <c r="H26" s="9">
        <v>2.5000000000000001E-2</v>
      </c>
      <c r="I26" s="9">
        <v>1</v>
      </c>
      <c r="J26" s="11">
        <f t="shared" si="3"/>
        <v>3.1683999999999997E-2</v>
      </c>
      <c r="K26" s="11">
        <f t="shared" si="3"/>
        <v>8.9999999999999998E-4</v>
      </c>
      <c r="L26" s="11">
        <f t="shared" si="3"/>
        <v>1.0890000000000001E-3</v>
      </c>
      <c r="M26" s="21">
        <f t="shared" si="3"/>
        <v>8.9999999999999998E-4</v>
      </c>
      <c r="N26" s="11">
        <f t="shared" si="3"/>
        <v>1.5999999999999972E-5</v>
      </c>
      <c r="O26" s="11">
        <f t="shared" si="3"/>
        <v>8.1000000000000017E-5</v>
      </c>
      <c r="P26" s="11">
        <f t="shared" si="3"/>
        <v>1.6900000000000004E-4</v>
      </c>
      <c r="Q26" s="11">
        <f t="shared" si="3"/>
        <v>8.1000000000000017E-5</v>
      </c>
      <c r="R26" s="11">
        <f t="shared" si="1"/>
        <v>3.4919999999999993E-2</v>
      </c>
      <c r="S26" s="11">
        <f t="shared" si="2"/>
        <v>0.18686893802876922</v>
      </c>
      <c r="T26" s="9">
        <v>3</v>
      </c>
      <c r="U26" s="9" t="s">
        <v>59</v>
      </c>
      <c r="V26" s="9">
        <v>17</v>
      </c>
      <c r="W26" s="9">
        <v>18</v>
      </c>
      <c r="X26" s="9">
        <v>35</v>
      </c>
    </row>
    <row r="27" spans="1:24" x14ac:dyDescent="0.25">
      <c r="A27" s="9">
        <v>0.38900000000000001</v>
      </c>
      <c r="B27" s="9">
        <v>0.224</v>
      </c>
      <c r="C27" s="9">
        <v>0.127</v>
      </c>
      <c r="D27" s="9">
        <v>6.4000000000000001E-2</v>
      </c>
      <c r="E27" s="9">
        <v>0.05</v>
      </c>
      <c r="F27" s="9">
        <v>3.1E-2</v>
      </c>
      <c r="G27" s="9">
        <v>2.1999999999999999E-2</v>
      </c>
      <c r="H27" s="9">
        <v>1.6E-2</v>
      </c>
      <c r="I27" s="9">
        <v>1</v>
      </c>
      <c r="J27" s="11">
        <f t="shared" si="3"/>
        <v>1.4160999999999998E-2</v>
      </c>
      <c r="K27" s="11">
        <f t="shared" si="3"/>
        <v>9.6040000000000014E-3</v>
      </c>
      <c r="L27" s="11">
        <f t="shared" si="3"/>
        <v>2.1159999999999998E-3</v>
      </c>
      <c r="M27" s="21">
        <f t="shared" si="3"/>
        <v>4.0000000000000074E-6</v>
      </c>
      <c r="N27" s="11">
        <f t="shared" si="3"/>
        <v>1.4399999999999992E-4</v>
      </c>
      <c r="O27" s="11">
        <f t="shared" si="3"/>
        <v>2.4999999999999974E-5</v>
      </c>
      <c r="P27" s="11">
        <f t="shared" si="3"/>
        <v>9.9999999999999487E-7</v>
      </c>
      <c r="Q27" s="11">
        <f t="shared" si="3"/>
        <v>0</v>
      </c>
      <c r="R27" s="11">
        <f t="shared" si="1"/>
        <v>2.6055000000000002E-2</v>
      </c>
      <c r="S27" s="11">
        <f t="shared" si="2"/>
        <v>0.16141561262777526</v>
      </c>
      <c r="T27" s="9">
        <v>4</v>
      </c>
      <c r="U27" s="9" t="s">
        <v>59</v>
      </c>
      <c r="V27" s="9">
        <v>17</v>
      </c>
      <c r="W27" s="9">
        <v>18</v>
      </c>
      <c r="X27" s="9">
        <v>35</v>
      </c>
    </row>
    <row r="28" spans="1:24" x14ac:dyDescent="0.25">
      <c r="A28" s="9">
        <v>0.32600000000000001</v>
      </c>
      <c r="B28" s="9">
        <v>0.158</v>
      </c>
      <c r="C28" s="9">
        <v>0.127</v>
      </c>
      <c r="D28" s="9">
        <v>0.109</v>
      </c>
      <c r="E28" s="9">
        <v>5.5E-2</v>
      </c>
      <c r="F28" s="9">
        <v>4.4999999999999998E-2</v>
      </c>
      <c r="G28" s="9">
        <v>3.2000000000000001E-2</v>
      </c>
      <c r="H28" s="9">
        <v>2.5000000000000001E-2</v>
      </c>
      <c r="I28" s="9">
        <v>1</v>
      </c>
      <c r="J28" s="11">
        <f t="shared" si="3"/>
        <v>3.3124000000000001E-2</v>
      </c>
      <c r="K28" s="11">
        <f t="shared" si="3"/>
        <v>1.024E-3</v>
      </c>
      <c r="L28" s="11">
        <f t="shared" si="3"/>
        <v>2.1159999999999998E-3</v>
      </c>
      <c r="M28" s="21">
        <f t="shared" si="3"/>
        <v>1.8489999999999997E-3</v>
      </c>
      <c r="N28" s="11">
        <f t="shared" si="3"/>
        <v>4.8999999999999992E-5</v>
      </c>
      <c r="O28" s="11">
        <f t="shared" si="3"/>
        <v>8.1000000000000017E-5</v>
      </c>
      <c r="P28" s="11">
        <f t="shared" si="3"/>
        <v>1.2099999999999999E-4</v>
      </c>
      <c r="Q28" s="11">
        <f t="shared" si="3"/>
        <v>8.1000000000000017E-5</v>
      </c>
      <c r="R28" s="11">
        <f t="shared" si="1"/>
        <v>3.8444999999999993E-2</v>
      </c>
      <c r="S28" s="11">
        <f t="shared" si="2"/>
        <v>0.19607396563542034</v>
      </c>
      <c r="T28" s="9">
        <v>5</v>
      </c>
      <c r="U28" s="9" t="s">
        <v>59</v>
      </c>
      <c r="V28" s="9">
        <v>17</v>
      </c>
      <c r="W28" s="9">
        <v>18</v>
      </c>
      <c r="X28" s="9">
        <v>35</v>
      </c>
    </row>
    <row r="29" spans="1:24" x14ac:dyDescent="0.25">
      <c r="A29" s="9">
        <v>0.34399999999999997</v>
      </c>
      <c r="B29" s="9">
        <v>0.33200000000000002</v>
      </c>
      <c r="C29" s="9">
        <v>0.13</v>
      </c>
      <c r="D29" s="9">
        <v>6.2E-2</v>
      </c>
      <c r="E29" s="9">
        <v>3.9E-2</v>
      </c>
      <c r="F29" s="9">
        <v>1.7999999999999999E-2</v>
      </c>
      <c r="G29" s="9">
        <v>1.4E-2</v>
      </c>
      <c r="H29" s="9">
        <v>0.01</v>
      </c>
      <c r="I29" s="9">
        <v>1</v>
      </c>
      <c r="J29" s="11">
        <f t="shared" si="3"/>
        <v>2.689600000000001E-2</v>
      </c>
      <c r="K29" s="11">
        <f t="shared" si="3"/>
        <v>4.2436000000000008E-2</v>
      </c>
      <c r="L29" s="11">
        <f t="shared" si="3"/>
        <v>2.4010000000000004E-3</v>
      </c>
      <c r="M29" s="21">
        <f t="shared" si="3"/>
        <v>1.600000000000003E-5</v>
      </c>
      <c r="N29" s="11">
        <f t="shared" si="3"/>
        <v>5.2899999999999996E-4</v>
      </c>
      <c r="O29" s="11">
        <f t="shared" si="3"/>
        <v>3.2399999999999996E-4</v>
      </c>
      <c r="P29" s="11">
        <f t="shared" si="3"/>
        <v>4.9000000000000012E-5</v>
      </c>
      <c r="Q29" s="11">
        <f t="shared" si="3"/>
        <v>3.6000000000000001E-5</v>
      </c>
      <c r="R29" s="11">
        <f t="shared" si="1"/>
        <v>7.2687000000000015E-2</v>
      </c>
      <c r="S29" s="11">
        <f t="shared" si="2"/>
        <v>0.2696052670108654</v>
      </c>
      <c r="T29" s="9">
        <v>6</v>
      </c>
      <c r="U29" s="9" t="s">
        <v>59</v>
      </c>
      <c r="V29" s="9">
        <v>17</v>
      </c>
      <c r="W29" s="9">
        <v>18</v>
      </c>
      <c r="X29" s="9">
        <v>35</v>
      </c>
    </row>
    <row r="30" spans="1:24" x14ac:dyDescent="0.25">
      <c r="A30" s="9">
        <v>0.51</v>
      </c>
      <c r="B30" s="9">
        <v>0.217</v>
      </c>
      <c r="C30" s="9">
        <v>7.4999999999999997E-2</v>
      </c>
      <c r="D30" s="9">
        <v>5.5E-2</v>
      </c>
      <c r="E30" s="9">
        <v>3.5000000000000003E-2</v>
      </c>
      <c r="F30" s="9">
        <v>2.1000000000000001E-2</v>
      </c>
      <c r="G30" s="9">
        <v>1.2999999999999999E-2</v>
      </c>
      <c r="H30" s="9">
        <v>1.2E-2</v>
      </c>
      <c r="I30" s="9">
        <v>1</v>
      </c>
      <c r="J30" s="11">
        <f t="shared" si="3"/>
        <v>4.0000000000000074E-6</v>
      </c>
      <c r="K30" s="11">
        <f t="shared" si="3"/>
        <v>8.2810000000000002E-3</v>
      </c>
      <c r="L30" s="11">
        <f t="shared" si="3"/>
        <v>3.6000000000000062E-5</v>
      </c>
      <c r="M30" s="21">
        <f t="shared" si="3"/>
        <v>1.2100000000000007E-4</v>
      </c>
      <c r="N30" s="11">
        <f t="shared" si="3"/>
        <v>7.2899999999999983E-4</v>
      </c>
      <c r="O30" s="11">
        <f t="shared" si="3"/>
        <v>2.2499999999999989E-4</v>
      </c>
      <c r="P30" s="11">
        <f t="shared" si="3"/>
        <v>6.4000000000000024E-5</v>
      </c>
      <c r="Q30" s="11">
        <f t="shared" si="3"/>
        <v>1.5999999999999999E-5</v>
      </c>
      <c r="R30" s="11">
        <f t="shared" si="1"/>
        <v>9.476E-3</v>
      </c>
      <c r="S30" s="11">
        <f t="shared" si="2"/>
        <v>9.7344748189103658E-2</v>
      </c>
      <c r="T30" s="9">
        <v>7</v>
      </c>
      <c r="U30" s="9" t="s">
        <v>59</v>
      </c>
      <c r="V30" s="9">
        <v>17</v>
      </c>
      <c r="W30" s="9">
        <v>18</v>
      </c>
      <c r="X30" s="9">
        <v>35</v>
      </c>
    </row>
    <row r="31" spans="1:24" x14ac:dyDescent="0.25">
      <c r="A31" s="9">
        <v>0.46700000000000003</v>
      </c>
      <c r="B31" s="9">
        <v>0.14399999999999999</v>
      </c>
      <c r="C31" s="9">
        <v>0.123</v>
      </c>
      <c r="D31" s="9">
        <v>7.2999999999999995E-2</v>
      </c>
      <c r="E31" s="9">
        <v>3.5999999999999997E-2</v>
      </c>
      <c r="F31" s="9">
        <v>2.9000000000000001E-2</v>
      </c>
      <c r="G31" s="9">
        <v>1.7999999999999999E-2</v>
      </c>
      <c r="H31" s="9">
        <v>1.6E-2</v>
      </c>
      <c r="I31" s="9">
        <v>1</v>
      </c>
      <c r="J31" s="11">
        <f t="shared" si="3"/>
        <v>1.6809999999999985E-3</v>
      </c>
      <c r="K31" s="11">
        <f t="shared" si="3"/>
        <v>3.2399999999999958E-4</v>
      </c>
      <c r="L31" s="11">
        <f t="shared" si="3"/>
        <v>1.7639999999999997E-3</v>
      </c>
      <c r="M31" s="21">
        <f t="shared" si="3"/>
        <v>4.899999999999989E-5</v>
      </c>
      <c r="N31" s="11">
        <f t="shared" si="3"/>
        <v>6.7600000000000017E-4</v>
      </c>
      <c r="O31" s="11">
        <f t="shared" si="3"/>
        <v>4.8999999999999944E-5</v>
      </c>
      <c r="P31" s="11">
        <f t="shared" si="3"/>
        <v>9.0000000000000155E-6</v>
      </c>
      <c r="Q31" s="11">
        <f t="shared" si="3"/>
        <v>0</v>
      </c>
      <c r="R31" s="11">
        <f t="shared" si="1"/>
        <v>4.5519999999999979E-3</v>
      </c>
      <c r="S31" s="11">
        <f t="shared" si="2"/>
        <v>6.7468511173731982E-2</v>
      </c>
      <c r="T31" s="9">
        <v>8</v>
      </c>
      <c r="U31" s="9" t="s">
        <v>59</v>
      </c>
      <c r="V31" s="9">
        <v>17</v>
      </c>
      <c r="W31" s="9">
        <v>18</v>
      </c>
      <c r="X31" s="9">
        <v>35</v>
      </c>
    </row>
    <row r="32" spans="1:24" x14ac:dyDescent="0.25">
      <c r="A32" s="9">
        <v>0.504</v>
      </c>
      <c r="B32" s="9">
        <v>0.19500000000000001</v>
      </c>
      <c r="C32" s="9">
        <v>0.107</v>
      </c>
      <c r="D32" s="9">
        <v>8.2000000000000003E-2</v>
      </c>
      <c r="E32" s="9">
        <v>4.2000000000000003E-2</v>
      </c>
      <c r="F32" s="9">
        <v>2.1999999999999999E-2</v>
      </c>
      <c r="G32" s="9">
        <v>1.4E-2</v>
      </c>
      <c r="H32" s="9">
        <v>8.0000000000000002E-3</v>
      </c>
      <c r="I32" s="9">
        <v>1</v>
      </c>
      <c r="J32" s="11">
        <f t="shared" si="3"/>
        <v>1.600000000000003E-5</v>
      </c>
      <c r="K32" s="11">
        <f t="shared" si="3"/>
        <v>4.7610000000000005E-3</v>
      </c>
      <c r="L32" s="11">
        <f t="shared" si="3"/>
        <v>6.7599999999999973E-4</v>
      </c>
      <c r="M32" s="21">
        <f t="shared" si="3"/>
        <v>2.5599999999999999E-4</v>
      </c>
      <c r="N32" s="11">
        <f t="shared" si="3"/>
        <v>3.9999999999999986E-4</v>
      </c>
      <c r="O32" s="11">
        <f t="shared" si="3"/>
        <v>1.9599999999999997E-4</v>
      </c>
      <c r="P32" s="11">
        <f t="shared" si="3"/>
        <v>4.9000000000000012E-5</v>
      </c>
      <c r="Q32" s="11">
        <f t="shared" si="3"/>
        <v>6.3999999999999997E-5</v>
      </c>
      <c r="R32" s="11">
        <f t="shared" si="1"/>
        <v>6.418000000000001E-3</v>
      </c>
      <c r="S32" s="11">
        <f t="shared" si="2"/>
        <v>8.0112421009478935E-2</v>
      </c>
      <c r="T32" s="9">
        <v>10</v>
      </c>
      <c r="U32" s="9" t="s">
        <v>59</v>
      </c>
      <c r="V32" s="9">
        <v>17</v>
      </c>
      <c r="W32" s="9">
        <v>18</v>
      </c>
      <c r="X32" s="9">
        <v>35</v>
      </c>
    </row>
    <row r="33" spans="1:24" x14ac:dyDescent="0.25">
      <c r="A33" s="9">
        <v>0.315</v>
      </c>
      <c r="B33" s="9">
        <v>0.21</v>
      </c>
      <c r="C33" s="9">
        <v>0.155</v>
      </c>
      <c r="D33" s="9">
        <v>9.4E-2</v>
      </c>
      <c r="E33" s="9">
        <v>4.7E-2</v>
      </c>
      <c r="F33" s="9">
        <v>3.5000000000000003E-2</v>
      </c>
      <c r="G33" s="9">
        <v>1.9E-2</v>
      </c>
      <c r="H33" s="9">
        <v>1.7999999999999999E-2</v>
      </c>
      <c r="I33" s="9">
        <v>1</v>
      </c>
      <c r="J33" s="11">
        <f t="shared" si="3"/>
        <v>3.7249000000000004E-2</v>
      </c>
      <c r="K33" s="11">
        <f t="shared" si="3"/>
        <v>7.0559999999999989E-3</v>
      </c>
      <c r="L33" s="11">
        <f t="shared" si="3"/>
        <v>5.4759999999999991E-3</v>
      </c>
      <c r="M33" s="21">
        <f t="shared" si="3"/>
        <v>7.8399999999999987E-4</v>
      </c>
      <c r="N33" s="11">
        <f t="shared" si="3"/>
        <v>2.2499999999999999E-4</v>
      </c>
      <c r="O33" s="11">
        <f t="shared" si="3"/>
        <v>9.9999999999998788E-7</v>
      </c>
      <c r="P33" s="11">
        <f t="shared" si="3"/>
        <v>4.0000000000000074E-6</v>
      </c>
      <c r="Q33" s="11">
        <f t="shared" si="3"/>
        <v>3.999999999999993E-6</v>
      </c>
      <c r="R33" s="11">
        <f t="shared" si="1"/>
        <v>5.0799000000000004E-2</v>
      </c>
      <c r="S33" s="11">
        <f t="shared" si="2"/>
        <v>0.22538633498950197</v>
      </c>
      <c r="T33" s="9">
        <v>18</v>
      </c>
      <c r="U33" s="9" t="s">
        <v>59</v>
      </c>
      <c r="V33" s="9">
        <v>17</v>
      </c>
      <c r="W33" s="9">
        <v>18</v>
      </c>
      <c r="X33" s="9">
        <v>35</v>
      </c>
    </row>
    <row r="34" spans="1:24" x14ac:dyDescent="0.25">
      <c r="A34" s="9">
        <v>0.42</v>
      </c>
      <c r="B34" s="9">
        <v>0.25600000000000001</v>
      </c>
      <c r="C34" s="9">
        <v>0.11</v>
      </c>
      <c r="D34" s="9">
        <v>5.8000000000000003E-2</v>
      </c>
      <c r="E34" s="9">
        <v>3.2000000000000001E-2</v>
      </c>
      <c r="F34" s="9">
        <v>0.02</v>
      </c>
      <c r="G34" s="9">
        <v>1.6E-2</v>
      </c>
      <c r="H34" s="9">
        <v>1.2999999999999999E-2</v>
      </c>
      <c r="I34" s="9">
        <v>1</v>
      </c>
      <c r="J34" s="11">
        <f t="shared" si="3"/>
        <v>7.7440000000000044E-3</v>
      </c>
      <c r="K34" s="11">
        <f t="shared" si="3"/>
        <v>1.6900000000000002E-2</v>
      </c>
      <c r="L34" s="11">
        <f t="shared" si="3"/>
        <v>8.4099999999999984E-4</v>
      </c>
      <c r="M34" s="21">
        <f t="shared" si="3"/>
        <v>6.3999999999999997E-5</v>
      </c>
      <c r="N34" s="11">
        <f t="shared" si="3"/>
        <v>8.9999999999999998E-4</v>
      </c>
      <c r="O34" s="11">
        <f t="shared" si="3"/>
        <v>2.5599999999999988E-4</v>
      </c>
      <c r="P34" s="11">
        <f t="shared" si="3"/>
        <v>2.5000000000000011E-5</v>
      </c>
      <c r="Q34" s="11">
        <f t="shared" si="3"/>
        <v>9.0000000000000053E-6</v>
      </c>
      <c r="R34" s="11">
        <f t="shared" si="1"/>
        <v>2.6739000000000009E-2</v>
      </c>
      <c r="S34" s="11">
        <f t="shared" si="2"/>
        <v>0.16352064089893975</v>
      </c>
      <c r="T34" s="9">
        <v>11</v>
      </c>
      <c r="U34" s="9" t="s">
        <v>59</v>
      </c>
      <c r="V34" s="9">
        <v>17</v>
      </c>
      <c r="W34" s="9">
        <v>18</v>
      </c>
      <c r="X34" s="9">
        <v>35</v>
      </c>
    </row>
    <row r="35" spans="1:24" x14ac:dyDescent="0.25">
      <c r="A35" s="9">
        <v>0.38700000000000001</v>
      </c>
      <c r="B35" s="9">
        <v>0.18</v>
      </c>
      <c r="C35" s="9">
        <v>0.13800000000000001</v>
      </c>
      <c r="D35" s="9">
        <v>6.8000000000000005E-2</v>
      </c>
      <c r="E35" s="9">
        <v>4.9000000000000002E-2</v>
      </c>
      <c r="F35" s="9">
        <v>2.9000000000000001E-2</v>
      </c>
      <c r="G35" s="9">
        <v>2.5999999999999999E-2</v>
      </c>
      <c r="H35" s="9">
        <v>2.4E-2</v>
      </c>
      <c r="I35" s="9">
        <v>1</v>
      </c>
      <c r="J35" s="11">
        <f t="shared" si="3"/>
        <v>1.4641E-2</v>
      </c>
      <c r="K35" s="11">
        <f t="shared" si="3"/>
        <v>2.9159999999999993E-3</v>
      </c>
      <c r="L35" s="11">
        <f t="shared" si="3"/>
        <v>3.249000000000001E-3</v>
      </c>
      <c r="M35" s="21">
        <f t="shared" si="3"/>
        <v>4.0000000000000074E-6</v>
      </c>
      <c r="N35" s="11">
        <f t="shared" si="3"/>
        <v>1.6899999999999993E-4</v>
      </c>
      <c r="O35" s="11">
        <f t="shared" si="3"/>
        <v>4.8999999999999944E-5</v>
      </c>
      <c r="P35" s="11">
        <f t="shared" si="3"/>
        <v>2.4999999999999974E-5</v>
      </c>
      <c r="Q35" s="11">
        <f t="shared" si="3"/>
        <v>6.3999999999999997E-5</v>
      </c>
      <c r="R35" s="11">
        <f t="shared" si="1"/>
        <v>2.1117000000000004E-2</v>
      </c>
      <c r="S35" s="11">
        <f t="shared" si="2"/>
        <v>0.14531689509482373</v>
      </c>
      <c r="T35" s="9">
        <v>12</v>
      </c>
      <c r="U35" s="9" t="s">
        <v>59</v>
      </c>
      <c r="V35" s="9">
        <v>17</v>
      </c>
      <c r="W35" s="9">
        <v>18</v>
      </c>
      <c r="X35" s="9">
        <v>35</v>
      </c>
    </row>
    <row r="36" spans="1:24" x14ac:dyDescent="0.25">
      <c r="A36" s="9">
        <v>0.52</v>
      </c>
      <c r="B36" s="9">
        <v>0.19400000000000001</v>
      </c>
      <c r="C36" s="9">
        <v>8.2000000000000003E-2</v>
      </c>
      <c r="D36" s="9">
        <v>5.7000000000000002E-2</v>
      </c>
      <c r="E36" s="9">
        <v>4.2000000000000003E-2</v>
      </c>
      <c r="F36" s="9">
        <v>2.4E-2</v>
      </c>
      <c r="G36" s="9">
        <v>1.7999999999999999E-2</v>
      </c>
      <c r="H36" s="9">
        <v>1.2999999999999999E-2</v>
      </c>
      <c r="I36" s="9">
        <v>1</v>
      </c>
      <c r="J36" s="11">
        <f t="shared" si="3"/>
        <v>1.4400000000000025E-4</v>
      </c>
      <c r="K36" s="11">
        <f t="shared" si="3"/>
        <v>4.6240000000000005E-3</v>
      </c>
      <c r="L36" s="11">
        <f t="shared" si="3"/>
        <v>1.0000000000000019E-6</v>
      </c>
      <c r="M36" s="21">
        <f t="shared" si="3"/>
        <v>8.1000000000000017E-5</v>
      </c>
      <c r="N36" s="11">
        <f t="shared" si="3"/>
        <v>3.9999999999999986E-4</v>
      </c>
      <c r="O36" s="11">
        <f t="shared" si="3"/>
        <v>1.4399999999999992E-4</v>
      </c>
      <c r="P36" s="11">
        <f t="shared" si="3"/>
        <v>9.0000000000000155E-6</v>
      </c>
      <c r="Q36" s="11">
        <f t="shared" si="3"/>
        <v>9.0000000000000053E-6</v>
      </c>
      <c r="R36" s="11">
        <f t="shared" si="1"/>
        <v>5.4120000000000019E-3</v>
      </c>
      <c r="S36" s="11">
        <f t="shared" si="2"/>
        <v>7.356629663099809E-2</v>
      </c>
      <c r="T36" s="9">
        <v>13</v>
      </c>
      <c r="U36" s="9" t="s">
        <v>59</v>
      </c>
      <c r="V36" s="9">
        <v>17</v>
      </c>
      <c r="W36" s="9">
        <v>18</v>
      </c>
      <c r="X36" s="9">
        <v>35</v>
      </c>
    </row>
    <row r="37" spans="1:24" x14ac:dyDescent="0.25">
      <c r="A37" s="9">
        <v>0.375</v>
      </c>
      <c r="B37" s="9">
        <v>0.29199999999999998</v>
      </c>
      <c r="C37" s="9">
        <v>0.10199999999999999</v>
      </c>
      <c r="D37" s="9">
        <v>6.3E-2</v>
      </c>
      <c r="E37" s="9">
        <v>3.2000000000000001E-2</v>
      </c>
      <c r="F37" s="9">
        <v>2.5999999999999999E-2</v>
      </c>
      <c r="G37" s="9">
        <v>1.9E-2</v>
      </c>
      <c r="H37" s="9">
        <v>1.2E-2</v>
      </c>
      <c r="I37" s="9">
        <v>1</v>
      </c>
      <c r="J37" s="11">
        <f t="shared" si="3"/>
        <v>1.7689000000000003E-2</v>
      </c>
      <c r="K37" s="11">
        <f t="shared" si="3"/>
        <v>2.7555999999999994E-2</v>
      </c>
      <c r="L37" s="11">
        <f t="shared" si="3"/>
        <v>4.4099999999999961E-4</v>
      </c>
      <c r="M37" s="21">
        <f t="shared" si="3"/>
        <v>9.0000000000000155E-6</v>
      </c>
      <c r="N37" s="11">
        <f t="shared" si="3"/>
        <v>8.9999999999999998E-4</v>
      </c>
      <c r="O37" s="11">
        <f t="shared" si="3"/>
        <v>9.9999999999999964E-5</v>
      </c>
      <c r="P37" s="11">
        <f t="shared" si="3"/>
        <v>4.0000000000000074E-6</v>
      </c>
      <c r="Q37" s="11">
        <f t="shared" si="3"/>
        <v>1.5999999999999999E-5</v>
      </c>
      <c r="R37" s="11">
        <f t="shared" si="1"/>
        <v>4.6714999999999993E-2</v>
      </c>
      <c r="S37" s="11">
        <f t="shared" si="2"/>
        <v>0.21613653092432106</v>
      </c>
      <c r="T37" s="9">
        <v>14</v>
      </c>
      <c r="U37" s="9" t="s">
        <v>59</v>
      </c>
      <c r="V37" s="9">
        <v>17</v>
      </c>
      <c r="W37" s="9">
        <v>18</v>
      </c>
      <c r="X37" s="9">
        <v>35</v>
      </c>
    </row>
    <row r="38" spans="1:24" x14ac:dyDescent="0.25">
      <c r="A38" s="9">
        <v>0.497</v>
      </c>
      <c r="B38" s="9">
        <v>0.18099999999999999</v>
      </c>
      <c r="C38" s="9">
        <v>7.0999999999999994E-2</v>
      </c>
      <c r="D38" s="9">
        <v>0.05</v>
      </c>
      <c r="E38" s="9">
        <v>3.7999999999999999E-2</v>
      </c>
      <c r="F38" s="9">
        <v>2.9000000000000001E-2</v>
      </c>
      <c r="G38" s="9">
        <v>2.8000000000000001E-2</v>
      </c>
      <c r="H38" s="9">
        <v>1.6E-2</v>
      </c>
      <c r="I38" s="9">
        <v>1</v>
      </c>
      <c r="J38" s="11">
        <f t="shared" si="3"/>
        <v>1.2100000000000022E-4</v>
      </c>
      <c r="K38" s="11">
        <f t="shared" si="3"/>
        <v>3.0249999999999995E-3</v>
      </c>
      <c r="L38" s="11">
        <f t="shared" si="3"/>
        <v>1.0000000000000018E-4</v>
      </c>
      <c r="M38" s="21">
        <f t="shared" si="3"/>
        <v>2.5599999999999999E-4</v>
      </c>
      <c r="N38" s="11">
        <f t="shared" si="3"/>
        <v>5.7600000000000001E-4</v>
      </c>
      <c r="O38" s="11">
        <f t="shared" si="3"/>
        <v>4.8999999999999944E-5</v>
      </c>
      <c r="P38" s="11">
        <f t="shared" si="3"/>
        <v>4.8999999999999992E-5</v>
      </c>
      <c r="Q38" s="11">
        <f t="shared" si="3"/>
        <v>0</v>
      </c>
      <c r="R38" s="11">
        <f t="shared" si="1"/>
        <v>4.1759999999999992E-3</v>
      </c>
      <c r="S38" s="11">
        <f t="shared" si="2"/>
        <v>6.4621977685614049E-2</v>
      </c>
      <c r="T38" s="9">
        <v>15</v>
      </c>
      <c r="U38" s="9" t="s">
        <v>59</v>
      </c>
      <c r="V38" s="9">
        <v>17</v>
      </c>
      <c r="W38" s="9">
        <v>18</v>
      </c>
      <c r="X38" s="9">
        <v>35</v>
      </c>
    </row>
    <row r="39" spans="1:24" x14ac:dyDescent="0.25">
      <c r="A39" s="9">
        <v>0.40400000000000003</v>
      </c>
      <c r="B39" s="9">
        <v>0.27800000000000002</v>
      </c>
      <c r="C39" s="9">
        <v>0.113</v>
      </c>
      <c r="D39" s="9">
        <v>7.3999999999999996E-2</v>
      </c>
      <c r="E39" s="9">
        <v>5.2999999999999999E-2</v>
      </c>
      <c r="F39" s="9">
        <v>1.4E-2</v>
      </c>
      <c r="G39" s="9">
        <v>1.2999999999999999E-2</v>
      </c>
      <c r="H39" s="9">
        <v>0.01</v>
      </c>
      <c r="I39" s="9">
        <v>1</v>
      </c>
      <c r="J39" s="11">
        <f t="shared" si="3"/>
        <v>1.0815999999999996E-2</v>
      </c>
      <c r="K39" s="11">
        <f t="shared" si="3"/>
        <v>2.3104000000000006E-2</v>
      </c>
      <c r="L39" s="11">
        <f t="shared" si="3"/>
        <v>1.024E-3</v>
      </c>
      <c r="M39" s="21">
        <f t="shared" si="3"/>
        <v>6.3999999999999889E-5</v>
      </c>
      <c r="N39" s="11">
        <f t="shared" si="3"/>
        <v>8.1000000000000017E-5</v>
      </c>
      <c r="O39" s="11">
        <f t="shared" si="3"/>
        <v>4.8399999999999995E-4</v>
      </c>
      <c r="P39" s="11">
        <f t="shared" si="3"/>
        <v>6.4000000000000024E-5</v>
      </c>
      <c r="Q39" s="11">
        <f t="shared" si="3"/>
        <v>3.6000000000000001E-5</v>
      </c>
      <c r="R39" s="11">
        <f t="shared" si="1"/>
        <v>3.5673000000000003E-2</v>
      </c>
      <c r="S39" s="11">
        <f t="shared" si="2"/>
        <v>0.18887297318568372</v>
      </c>
      <c r="T39" s="9">
        <v>16</v>
      </c>
      <c r="U39" s="9" t="s">
        <v>59</v>
      </c>
      <c r="V39" s="9">
        <v>17</v>
      </c>
      <c r="W39" s="9">
        <v>18</v>
      </c>
      <c r="X39" s="9">
        <v>35</v>
      </c>
    </row>
    <row r="40" spans="1:24" x14ac:dyDescent="0.25">
      <c r="A40" s="9">
        <v>0.48299999999999998</v>
      </c>
      <c r="B40" s="9">
        <v>0.224</v>
      </c>
      <c r="C40" s="9">
        <v>0.14299999999999999</v>
      </c>
      <c r="D40" s="9">
        <v>0.04</v>
      </c>
      <c r="E40" s="9">
        <v>2.8000000000000001E-2</v>
      </c>
      <c r="F40" s="9">
        <v>1.7000000000000001E-2</v>
      </c>
      <c r="G40" s="9">
        <v>1.4999999999999999E-2</v>
      </c>
      <c r="H40" s="9">
        <v>1.0999999999999999E-2</v>
      </c>
      <c r="I40" s="9">
        <v>1</v>
      </c>
      <c r="J40" s="11">
        <f t="shared" si="3"/>
        <v>6.250000000000011E-4</v>
      </c>
      <c r="K40" s="11">
        <f t="shared" si="3"/>
        <v>9.6040000000000014E-3</v>
      </c>
      <c r="L40" s="11">
        <f t="shared" si="3"/>
        <v>3.843999999999998E-3</v>
      </c>
      <c r="M40" s="21">
        <f t="shared" si="3"/>
        <v>6.7600000000000017E-4</v>
      </c>
      <c r="N40" s="11">
        <f t="shared" si="3"/>
        <v>1.1560000000000001E-3</v>
      </c>
      <c r="O40" s="11">
        <f t="shared" si="3"/>
        <v>3.6099999999999983E-4</v>
      </c>
      <c r="P40" s="11">
        <f t="shared" si="3"/>
        <v>3.6000000000000021E-5</v>
      </c>
      <c r="Q40" s="11">
        <f t="shared" si="3"/>
        <v>2.5000000000000011E-5</v>
      </c>
      <c r="R40" s="11">
        <f t="shared" si="1"/>
        <v>1.6327000000000001E-2</v>
      </c>
      <c r="S40" s="11">
        <f t="shared" si="2"/>
        <v>0.12777714975691076</v>
      </c>
      <c r="T40" s="9">
        <v>17</v>
      </c>
      <c r="U40" s="9" t="s">
        <v>59</v>
      </c>
      <c r="V40" s="9">
        <v>17</v>
      </c>
      <c r="W40" s="9">
        <v>18</v>
      </c>
      <c r="X40" s="9">
        <v>35</v>
      </c>
    </row>
    <row r="41" spans="1:24" x14ac:dyDescent="0.25">
      <c r="A41" s="2">
        <v>0.36599999999999999</v>
      </c>
      <c r="B41" s="2">
        <v>0.254</v>
      </c>
      <c r="C41" s="2">
        <v>0.112</v>
      </c>
      <c r="D41" s="2">
        <v>9.0999999999999998E-2</v>
      </c>
      <c r="E41" s="2">
        <v>6.4000000000000001E-2</v>
      </c>
      <c r="F41" s="2">
        <v>2.5000000000000001E-2</v>
      </c>
      <c r="G41" s="2">
        <v>2.1000000000000001E-2</v>
      </c>
      <c r="H41" s="2">
        <v>1.4999999999999999E-2</v>
      </c>
      <c r="I41" s="2">
        <v>1</v>
      </c>
      <c r="J41" s="7">
        <f t="shared" si="3"/>
        <v>2.0164000000000005E-2</v>
      </c>
      <c r="K41" s="7">
        <f t="shared" si="3"/>
        <v>1.6383999999999999E-2</v>
      </c>
      <c r="L41" s="7">
        <f t="shared" si="3"/>
        <v>9.6099999999999994E-4</v>
      </c>
      <c r="M41" s="20">
        <f t="shared" si="3"/>
        <v>6.2499999999999969E-4</v>
      </c>
      <c r="N41" s="7">
        <f t="shared" si="3"/>
        <v>4.0000000000000074E-6</v>
      </c>
      <c r="O41" s="7">
        <f t="shared" si="3"/>
        <v>1.2099999999999991E-4</v>
      </c>
      <c r="P41" s="7">
        <f t="shared" si="3"/>
        <v>0</v>
      </c>
      <c r="Q41" s="7">
        <f t="shared" si="3"/>
        <v>1.0000000000000019E-6</v>
      </c>
      <c r="R41" s="7">
        <f t="shared" si="1"/>
        <v>3.8260000000000002E-2</v>
      </c>
      <c r="S41" s="7">
        <f t="shared" si="2"/>
        <v>0.1956016359849784</v>
      </c>
      <c r="T41" s="2">
        <v>39</v>
      </c>
      <c r="U41" s="2" t="s">
        <v>60</v>
      </c>
      <c r="V41" s="2">
        <v>17</v>
      </c>
      <c r="W41" s="2">
        <v>18</v>
      </c>
      <c r="X41" s="2">
        <v>35</v>
      </c>
    </row>
    <row r="42" spans="1:24" x14ac:dyDescent="0.25">
      <c r="A42" s="2">
        <v>0.34799999999999998</v>
      </c>
      <c r="B42" s="2">
        <v>0.19600000000000001</v>
      </c>
      <c r="C42" s="2">
        <v>0.13700000000000001</v>
      </c>
      <c r="D42" s="2">
        <v>8.5999999999999993E-2</v>
      </c>
      <c r="E42" s="2">
        <v>4.7E-2</v>
      </c>
      <c r="F42" s="2">
        <v>3.3000000000000002E-2</v>
      </c>
      <c r="G42" s="2">
        <v>2.5999999999999999E-2</v>
      </c>
      <c r="H42" s="2">
        <v>2.4E-2</v>
      </c>
      <c r="I42" s="2">
        <v>1</v>
      </c>
      <c r="J42" s="7">
        <f t="shared" si="3"/>
        <v>2.5600000000000012E-2</v>
      </c>
      <c r="K42" s="7">
        <f t="shared" si="3"/>
        <v>4.9000000000000007E-3</v>
      </c>
      <c r="L42" s="7">
        <f t="shared" si="3"/>
        <v>3.1360000000000008E-3</v>
      </c>
      <c r="M42" s="20">
        <f t="shared" si="3"/>
        <v>3.9999999999999959E-4</v>
      </c>
      <c r="N42" s="7">
        <f t="shared" si="3"/>
        <v>2.2499999999999999E-4</v>
      </c>
      <c r="O42" s="7">
        <f t="shared" si="3"/>
        <v>8.9999999999999748E-6</v>
      </c>
      <c r="P42" s="7">
        <f t="shared" si="3"/>
        <v>2.4999999999999974E-5</v>
      </c>
      <c r="Q42" s="7">
        <f t="shared" si="3"/>
        <v>6.3999999999999997E-5</v>
      </c>
      <c r="R42" s="7">
        <f t="shared" si="1"/>
        <v>3.4359000000000015E-2</v>
      </c>
      <c r="S42" s="7">
        <f t="shared" si="2"/>
        <v>0.18536180836407487</v>
      </c>
      <c r="T42" s="2">
        <v>40</v>
      </c>
      <c r="U42" s="2" t="s">
        <v>60</v>
      </c>
      <c r="V42" s="2">
        <v>17</v>
      </c>
      <c r="W42" s="2">
        <v>18</v>
      </c>
      <c r="X42" s="2">
        <v>35</v>
      </c>
    </row>
    <row r="43" spans="1:24" x14ac:dyDescent="0.25">
      <c r="A43" t="s">
        <v>32</v>
      </c>
      <c r="J43" s="1"/>
      <c r="K43" s="1"/>
      <c r="L43" s="1"/>
    </row>
    <row r="44" spans="1:24" x14ac:dyDescent="0.25">
      <c r="A44" s="5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40</v>
      </c>
      <c r="G44" s="5" t="s">
        <v>41</v>
      </c>
      <c r="H44" s="5" t="s">
        <v>42</v>
      </c>
      <c r="I44" s="5" t="s">
        <v>8</v>
      </c>
      <c r="J44" s="1"/>
      <c r="K44" s="1"/>
      <c r="L44" s="1"/>
    </row>
    <row r="45" spans="1:24" x14ac:dyDescent="0.25">
      <c r="A45" s="2">
        <v>0.50800000000000001</v>
      </c>
      <c r="B45" s="2">
        <v>0.126</v>
      </c>
      <c r="C45" s="2">
        <v>8.1000000000000003E-2</v>
      </c>
      <c r="D45" s="2">
        <v>6.6000000000000003E-2</v>
      </c>
      <c r="E45" s="2">
        <v>6.2E-2</v>
      </c>
      <c r="F45" s="2">
        <v>3.5999999999999997E-2</v>
      </c>
      <c r="G45" s="2">
        <v>2.1000000000000001E-2</v>
      </c>
      <c r="H45" s="2">
        <v>1.6E-2</v>
      </c>
      <c r="I45" s="3">
        <v>1</v>
      </c>
      <c r="J45" s="1"/>
      <c r="K45" s="1"/>
      <c r="L45" s="1"/>
    </row>
    <row r="46" spans="1:24" x14ac:dyDescent="0.25">
      <c r="A46" s="2">
        <v>0.50800000000000001</v>
      </c>
      <c r="B46" s="2">
        <v>0.126</v>
      </c>
      <c r="C46" s="2">
        <v>8.1000000000000003E-2</v>
      </c>
      <c r="D46" s="2">
        <v>6.6000000000000003E-2</v>
      </c>
      <c r="E46" s="2">
        <v>6.2E-2</v>
      </c>
      <c r="F46" s="2">
        <v>3.5999999999999997E-2</v>
      </c>
      <c r="G46" s="2">
        <v>2.1000000000000001E-2</v>
      </c>
      <c r="H46" s="2">
        <v>1.6E-2</v>
      </c>
      <c r="I46" s="3">
        <v>1</v>
      </c>
      <c r="J46" s="1"/>
      <c r="K46" s="1"/>
      <c r="L46" s="1"/>
    </row>
    <row r="47" spans="1:24" x14ac:dyDescent="0.25">
      <c r="A47" s="2">
        <v>0.50800000000000001</v>
      </c>
      <c r="B47" s="2">
        <v>0.126</v>
      </c>
      <c r="C47" s="2">
        <v>8.1000000000000003E-2</v>
      </c>
      <c r="D47" s="2">
        <v>6.6000000000000003E-2</v>
      </c>
      <c r="E47" s="2">
        <v>6.2E-2</v>
      </c>
      <c r="F47" s="2">
        <v>3.5999999999999997E-2</v>
      </c>
      <c r="G47" s="2">
        <v>2.1000000000000001E-2</v>
      </c>
      <c r="H47" s="2">
        <v>1.6E-2</v>
      </c>
      <c r="I47" s="3">
        <v>1</v>
      </c>
      <c r="J47" s="1"/>
      <c r="K47" s="1"/>
      <c r="L47" s="1"/>
    </row>
    <row r="48" spans="1:24" x14ac:dyDescent="0.25">
      <c r="A48" s="2">
        <v>0.50800000000000001</v>
      </c>
      <c r="B48" s="2">
        <v>0.126</v>
      </c>
      <c r="C48" s="2">
        <v>8.1000000000000003E-2</v>
      </c>
      <c r="D48" s="2">
        <v>6.6000000000000003E-2</v>
      </c>
      <c r="E48" s="2">
        <v>6.2E-2</v>
      </c>
      <c r="F48" s="2">
        <v>3.5999999999999997E-2</v>
      </c>
      <c r="G48" s="2">
        <v>2.1000000000000001E-2</v>
      </c>
      <c r="H48" s="2">
        <v>1.6E-2</v>
      </c>
      <c r="I48" s="3">
        <v>1</v>
      </c>
      <c r="J48" s="1"/>
      <c r="K48" s="1"/>
      <c r="L48" s="1"/>
    </row>
    <row r="49" spans="1:12" x14ac:dyDescent="0.25">
      <c r="A49" s="2">
        <v>0.50800000000000001</v>
      </c>
      <c r="B49" s="2">
        <v>0.126</v>
      </c>
      <c r="C49" s="2">
        <v>8.1000000000000003E-2</v>
      </c>
      <c r="D49" s="2">
        <v>6.6000000000000003E-2</v>
      </c>
      <c r="E49" s="2">
        <v>6.2E-2</v>
      </c>
      <c r="F49" s="2">
        <v>3.5999999999999997E-2</v>
      </c>
      <c r="G49" s="2">
        <v>2.1000000000000001E-2</v>
      </c>
      <c r="H49" s="2">
        <v>1.6E-2</v>
      </c>
      <c r="I49" s="3">
        <v>1</v>
      </c>
      <c r="J49" s="1"/>
      <c r="K49" s="1"/>
      <c r="L49" s="1"/>
    </row>
    <row r="50" spans="1:12" x14ac:dyDescent="0.25">
      <c r="A50" s="2">
        <v>0.50800000000000001</v>
      </c>
      <c r="B50" s="2">
        <v>0.126</v>
      </c>
      <c r="C50" s="2">
        <v>8.1000000000000003E-2</v>
      </c>
      <c r="D50" s="2">
        <v>6.6000000000000003E-2</v>
      </c>
      <c r="E50" s="2">
        <v>6.2E-2</v>
      </c>
      <c r="F50" s="2">
        <v>3.5999999999999997E-2</v>
      </c>
      <c r="G50" s="2">
        <v>2.1000000000000001E-2</v>
      </c>
      <c r="H50" s="2">
        <v>1.6E-2</v>
      </c>
      <c r="I50" s="3">
        <v>1</v>
      </c>
      <c r="J50" s="1"/>
      <c r="K50" s="1"/>
      <c r="L50" s="1"/>
    </row>
    <row r="51" spans="1:12" x14ac:dyDescent="0.25">
      <c r="A51" s="2">
        <v>0.50800000000000001</v>
      </c>
      <c r="B51" s="2">
        <v>0.126</v>
      </c>
      <c r="C51" s="2">
        <v>8.1000000000000003E-2</v>
      </c>
      <c r="D51" s="2">
        <v>6.6000000000000003E-2</v>
      </c>
      <c r="E51" s="2">
        <v>6.2E-2</v>
      </c>
      <c r="F51" s="2">
        <v>3.5999999999999997E-2</v>
      </c>
      <c r="G51" s="2">
        <v>2.1000000000000001E-2</v>
      </c>
      <c r="H51" s="2">
        <v>1.6E-2</v>
      </c>
      <c r="I51" s="3">
        <v>1</v>
      </c>
      <c r="J51" s="1"/>
      <c r="K51" s="1"/>
      <c r="L51" s="1"/>
    </row>
    <row r="52" spans="1:12" x14ac:dyDescent="0.25">
      <c r="A52" s="2">
        <v>0.50800000000000001</v>
      </c>
      <c r="B52" s="2">
        <v>0.126</v>
      </c>
      <c r="C52" s="2">
        <v>8.1000000000000003E-2</v>
      </c>
      <c r="D52" s="2">
        <v>6.6000000000000003E-2</v>
      </c>
      <c r="E52" s="2">
        <v>6.2E-2</v>
      </c>
      <c r="F52" s="2">
        <v>3.5999999999999997E-2</v>
      </c>
      <c r="G52" s="2">
        <v>2.1000000000000001E-2</v>
      </c>
      <c r="H52" s="2">
        <v>1.6E-2</v>
      </c>
      <c r="I52" s="3">
        <v>1</v>
      </c>
      <c r="J52" s="1"/>
      <c r="K52" s="1"/>
      <c r="L52" s="1"/>
    </row>
    <row r="53" spans="1:12" x14ac:dyDescent="0.25">
      <c r="A53" s="2">
        <v>0.50800000000000001</v>
      </c>
      <c r="B53" s="2">
        <v>0.126</v>
      </c>
      <c r="C53" s="2">
        <v>8.1000000000000003E-2</v>
      </c>
      <c r="D53" s="2">
        <v>6.6000000000000003E-2</v>
      </c>
      <c r="E53" s="2">
        <v>6.2E-2</v>
      </c>
      <c r="F53" s="2">
        <v>3.5999999999999997E-2</v>
      </c>
      <c r="G53" s="2">
        <v>2.1000000000000001E-2</v>
      </c>
      <c r="H53" s="2">
        <v>1.6E-2</v>
      </c>
      <c r="I53" s="3">
        <v>1</v>
      </c>
      <c r="J53" s="1"/>
      <c r="K53" s="1"/>
      <c r="L53" s="1"/>
    </row>
    <row r="54" spans="1:12" x14ac:dyDescent="0.25">
      <c r="A54" s="2">
        <v>0.50800000000000001</v>
      </c>
      <c r="B54" s="2">
        <v>0.126</v>
      </c>
      <c r="C54" s="2">
        <v>8.1000000000000003E-2</v>
      </c>
      <c r="D54" s="2">
        <v>6.6000000000000003E-2</v>
      </c>
      <c r="E54" s="2">
        <v>6.2E-2</v>
      </c>
      <c r="F54" s="2">
        <v>3.5999999999999997E-2</v>
      </c>
      <c r="G54" s="2">
        <v>2.1000000000000001E-2</v>
      </c>
      <c r="H54" s="2">
        <v>1.6E-2</v>
      </c>
      <c r="I54" s="3">
        <v>1</v>
      </c>
      <c r="J54" s="1"/>
      <c r="K54" s="1"/>
      <c r="L54" s="1"/>
    </row>
    <row r="55" spans="1:12" x14ac:dyDescent="0.25">
      <c r="A55" s="2">
        <v>0.50800000000000001</v>
      </c>
      <c r="B55" s="2">
        <v>0.126</v>
      </c>
      <c r="C55" s="2">
        <v>8.1000000000000003E-2</v>
      </c>
      <c r="D55" s="2">
        <v>6.6000000000000003E-2</v>
      </c>
      <c r="E55" s="2">
        <v>6.2E-2</v>
      </c>
      <c r="F55" s="2">
        <v>3.5999999999999997E-2</v>
      </c>
      <c r="G55" s="2">
        <v>2.1000000000000001E-2</v>
      </c>
      <c r="H55" s="2">
        <v>1.6E-2</v>
      </c>
      <c r="I55" s="3">
        <v>1</v>
      </c>
      <c r="J55" s="1"/>
      <c r="K55" s="1"/>
      <c r="L55" s="1"/>
    </row>
    <row r="56" spans="1:12" x14ac:dyDescent="0.25">
      <c r="A56" s="2">
        <v>0.50800000000000001</v>
      </c>
      <c r="B56" s="2">
        <v>0.126</v>
      </c>
      <c r="C56" s="2">
        <v>8.1000000000000003E-2</v>
      </c>
      <c r="D56" s="2">
        <v>6.6000000000000003E-2</v>
      </c>
      <c r="E56" s="2">
        <v>6.2E-2</v>
      </c>
      <c r="F56" s="2">
        <v>3.5999999999999997E-2</v>
      </c>
      <c r="G56" s="2">
        <v>2.1000000000000001E-2</v>
      </c>
      <c r="H56" s="2">
        <v>1.6E-2</v>
      </c>
      <c r="I56" s="3">
        <v>1</v>
      </c>
      <c r="J56" s="1"/>
      <c r="K56" s="1"/>
      <c r="L56" s="1"/>
    </row>
    <row r="57" spans="1:12" x14ac:dyDescent="0.25">
      <c r="A57" s="2">
        <v>0.50800000000000001</v>
      </c>
      <c r="B57" s="2">
        <v>0.126</v>
      </c>
      <c r="C57" s="2">
        <v>8.1000000000000003E-2</v>
      </c>
      <c r="D57" s="2">
        <v>6.6000000000000003E-2</v>
      </c>
      <c r="E57" s="2">
        <v>6.2E-2</v>
      </c>
      <c r="F57" s="2">
        <v>3.5999999999999997E-2</v>
      </c>
      <c r="G57" s="2">
        <v>2.1000000000000001E-2</v>
      </c>
      <c r="H57" s="2">
        <v>1.6E-2</v>
      </c>
      <c r="I57" s="3">
        <v>1</v>
      </c>
      <c r="J57" s="1"/>
      <c r="K57" s="1"/>
      <c r="L57" s="1"/>
    </row>
    <row r="58" spans="1:12" x14ac:dyDescent="0.25">
      <c r="A58" s="2">
        <v>0.50800000000000001</v>
      </c>
      <c r="B58" s="2">
        <v>0.126</v>
      </c>
      <c r="C58" s="2">
        <v>8.1000000000000003E-2</v>
      </c>
      <c r="D58" s="2">
        <v>6.6000000000000003E-2</v>
      </c>
      <c r="E58" s="2">
        <v>6.2E-2</v>
      </c>
      <c r="F58" s="2">
        <v>3.5999999999999997E-2</v>
      </c>
      <c r="G58" s="2">
        <v>2.1000000000000001E-2</v>
      </c>
      <c r="H58" s="2">
        <v>1.6E-2</v>
      </c>
      <c r="I58" s="3">
        <v>1</v>
      </c>
      <c r="J58" s="1"/>
      <c r="K58" s="1"/>
      <c r="L58" s="1"/>
    </row>
    <row r="59" spans="1:12" x14ac:dyDescent="0.25">
      <c r="A59" s="2">
        <v>0.50800000000000001</v>
      </c>
      <c r="B59" s="2">
        <v>0.126</v>
      </c>
      <c r="C59" s="2">
        <v>8.1000000000000003E-2</v>
      </c>
      <c r="D59" s="2">
        <v>6.6000000000000003E-2</v>
      </c>
      <c r="E59" s="2">
        <v>6.2E-2</v>
      </c>
      <c r="F59" s="2">
        <v>3.5999999999999997E-2</v>
      </c>
      <c r="G59" s="2">
        <v>2.1000000000000001E-2</v>
      </c>
      <c r="H59" s="2">
        <v>1.6E-2</v>
      </c>
      <c r="I59" s="3">
        <v>1</v>
      </c>
      <c r="J59" s="1"/>
      <c r="K59" s="1"/>
      <c r="L59" s="1"/>
    </row>
    <row r="60" spans="1:12" x14ac:dyDescent="0.25">
      <c r="A60" s="2">
        <v>0.50800000000000001</v>
      </c>
      <c r="B60" s="2">
        <v>0.126</v>
      </c>
      <c r="C60" s="2">
        <v>8.1000000000000003E-2</v>
      </c>
      <c r="D60" s="2">
        <v>6.6000000000000003E-2</v>
      </c>
      <c r="E60" s="2">
        <v>6.2E-2</v>
      </c>
      <c r="F60" s="2">
        <v>3.5999999999999997E-2</v>
      </c>
      <c r="G60" s="2">
        <v>2.1000000000000001E-2</v>
      </c>
      <c r="H60" s="2">
        <v>1.6E-2</v>
      </c>
      <c r="I60" s="3">
        <v>1</v>
      </c>
      <c r="J60" s="1"/>
      <c r="K60" s="1"/>
      <c r="L60" s="1"/>
    </row>
    <row r="61" spans="1:12" x14ac:dyDescent="0.25">
      <c r="A61" s="2">
        <v>0.50800000000000001</v>
      </c>
      <c r="B61" s="2">
        <v>0.126</v>
      </c>
      <c r="C61" s="2">
        <v>8.1000000000000003E-2</v>
      </c>
      <c r="D61" s="2">
        <v>6.6000000000000003E-2</v>
      </c>
      <c r="E61" s="2">
        <v>6.2E-2</v>
      </c>
      <c r="F61" s="2">
        <v>3.5999999999999997E-2</v>
      </c>
      <c r="G61" s="2">
        <v>2.1000000000000001E-2</v>
      </c>
      <c r="H61" s="2">
        <v>1.6E-2</v>
      </c>
      <c r="I61" s="3">
        <v>1</v>
      </c>
      <c r="J61" s="1"/>
      <c r="K61" s="1"/>
      <c r="L61" s="1"/>
    </row>
    <row r="62" spans="1:12" x14ac:dyDescent="0.25">
      <c r="A62" s="2">
        <v>0.50800000000000001</v>
      </c>
      <c r="B62" s="2">
        <v>0.126</v>
      </c>
      <c r="C62" s="2">
        <v>8.1000000000000003E-2</v>
      </c>
      <c r="D62" s="2">
        <v>6.6000000000000003E-2</v>
      </c>
      <c r="E62" s="2">
        <v>6.2E-2</v>
      </c>
      <c r="F62" s="2">
        <v>3.5999999999999997E-2</v>
      </c>
      <c r="G62" s="2">
        <v>2.1000000000000001E-2</v>
      </c>
      <c r="H62" s="2">
        <v>1.6E-2</v>
      </c>
      <c r="I62" s="3">
        <v>1</v>
      </c>
      <c r="J62" s="1"/>
      <c r="K62" s="1"/>
      <c r="L62" s="1"/>
    </row>
    <row r="63" spans="1:12" x14ac:dyDescent="0.25">
      <c r="A63" s="2">
        <v>0.50800000000000001</v>
      </c>
      <c r="B63" s="2">
        <v>0.126</v>
      </c>
      <c r="C63" s="2">
        <v>8.1000000000000003E-2</v>
      </c>
      <c r="D63" s="2">
        <v>6.6000000000000003E-2</v>
      </c>
      <c r="E63" s="2">
        <v>6.2E-2</v>
      </c>
      <c r="F63" s="2">
        <v>3.5999999999999997E-2</v>
      </c>
      <c r="G63" s="2">
        <v>2.1000000000000001E-2</v>
      </c>
      <c r="H63" s="2">
        <v>1.6E-2</v>
      </c>
      <c r="I63" s="3">
        <v>1</v>
      </c>
      <c r="J63" s="1"/>
      <c r="K63" s="1"/>
      <c r="L63" s="1"/>
    </row>
    <row r="64" spans="1:12" x14ac:dyDescent="0.25">
      <c r="A64" s="2">
        <v>0.50800000000000001</v>
      </c>
      <c r="B64" s="2">
        <v>0.126</v>
      </c>
      <c r="C64" s="2">
        <v>8.1000000000000003E-2</v>
      </c>
      <c r="D64" s="2">
        <v>6.6000000000000003E-2</v>
      </c>
      <c r="E64" s="2">
        <v>6.2E-2</v>
      </c>
      <c r="F64" s="2">
        <v>3.5999999999999997E-2</v>
      </c>
      <c r="G64" s="2">
        <v>2.1000000000000001E-2</v>
      </c>
      <c r="H64" s="2">
        <v>1.6E-2</v>
      </c>
      <c r="I64" s="3">
        <v>1</v>
      </c>
      <c r="J64" s="1"/>
      <c r="K64" s="1"/>
      <c r="L64" s="1"/>
    </row>
    <row r="65" spans="1:12" x14ac:dyDescent="0.25">
      <c r="A65" s="2">
        <v>0.50800000000000001</v>
      </c>
      <c r="B65" s="2">
        <v>0.126</v>
      </c>
      <c r="C65" s="2">
        <v>8.1000000000000003E-2</v>
      </c>
      <c r="D65" s="2">
        <v>6.6000000000000003E-2</v>
      </c>
      <c r="E65" s="2">
        <v>6.2E-2</v>
      </c>
      <c r="F65" s="2">
        <v>3.5999999999999997E-2</v>
      </c>
      <c r="G65" s="2">
        <v>2.1000000000000001E-2</v>
      </c>
      <c r="H65" s="2">
        <v>1.6E-2</v>
      </c>
      <c r="I65" s="3">
        <v>1</v>
      </c>
      <c r="J65" s="1"/>
      <c r="K65" s="1"/>
      <c r="L65" s="1"/>
    </row>
    <row r="66" spans="1:12" x14ac:dyDescent="0.25">
      <c r="A66" s="2">
        <v>0.50800000000000001</v>
      </c>
      <c r="B66" s="2">
        <v>0.126</v>
      </c>
      <c r="C66" s="2">
        <v>8.1000000000000003E-2</v>
      </c>
      <c r="D66" s="2">
        <v>6.6000000000000003E-2</v>
      </c>
      <c r="E66" s="2">
        <v>6.2E-2</v>
      </c>
      <c r="F66" s="2">
        <v>3.5999999999999997E-2</v>
      </c>
      <c r="G66" s="2">
        <v>2.1000000000000001E-2</v>
      </c>
      <c r="H66" s="2">
        <v>1.6E-2</v>
      </c>
      <c r="I66" s="3">
        <v>1</v>
      </c>
      <c r="J66" s="1"/>
      <c r="K66" s="1"/>
      <c r="L66" s="1"/>
    </row>
    <row r="67" spans="1:12" x14ac:dyDescent="0.25">
      <c r="A67" s="2">
        <v>0.50800000000000001</v>
      </c>
      <c r="B67" s="2">
        <v>0.126</v>
      </c>
      <c r="C67" s="2">
        <v>8.1000000000000003E-2</v>
      </c>
      <c r="D67" s="2">
        <v>6.6000000000000003E-2</v>
      </c>
      <c r="E67" s="2">
        <v>6.2E-2</v>
      </c>
      <c r="F67" s="2">
        <v>3.5999999999999997E-2</v>
      </c>
      <c r="G67" s="2">
        <v>2.1000000000000001E-2</v>
      </c>
      <c r="H67" s="2">
        <v>1.6E-2</v>
      </c>
      <c r="I67" s="3">
        <v>1</v>
      </c>
      <c r="J67" s="1"/>
      <c r="K67" s="1"/>
      <c r="L67" s="1"/>
    </row>
    <row r="68" spans="1:12" x14ac:dyDescent="0.25">
      <c r="A68" s="2">
        <v>0.50800000000000001</v>
      </c>
      <c r="B68" s="2">
        <v>0.126</v>
      </c>
      <c r="C68" s="2">
        <v>8.1000000000000003E-2</v>
      </c>
      <c r="D68" s="2">
        <v>6.6000000000000003E-2</v>
      </c>
      <c r="E68" s="2">
        <v>6.2E-2</v>
      </c>
      <c r="F68" s="2">
        <v>3.5999999999999997E-2</v>
      </c>
      <c r="G68" s="2">
        <v>2.1000000000000001E-2</v>
      </c>
      <c r="H68" s="2">
        <v>1.6E-2</v>
      </c>
      <c r="I68" s="3">
        <v>1</v>
      </c>
      <c r="J68" s="1"/>
      <c r="K68" s="1"/>
      <c r="L68" s="1"/>
    </row>
    <row r="69" spans="1:12" x14ac:dyDescent="0.25">
      <c r="A69" s="2">
        <v>0.50800000000000001</v>
      </c>
      <c r="B69" s="2">
        <v>0.126</v>
      </c>
      <c r="C69" s="2">
        <v>8.1000000000000003E-2</v>
      </c>
      <c r="D69" s="2">
        <v>6.6000000000000003E-2</v>
      </c>
      <c r="E69" s="2">
        <v>6.2E-2</v>
      </c>
      <c r="F69" s="2">
        <v>3.5999999999999997E-2</v>
      </c>
      <c r="G69" s="2">
        <v>2.1000000000000001E-2</v>
      </c>
      <c r="H69" s="2">
        <v>1.6E-2</v>
      </c>
      <c r="I69" s="3">
        <v>1</v>
      </c>
      <c r="J69" s="1"/>
      <c r="K69" s="1"/>
      <c r="L69" s="1"/>
    </row>
    <row r="70" spans="1:12" x14ac:dyDescent="0.25">
      <c r="A70" s="2">
        <v>0.50800000000000001</v>
      </c>
      <c r="B70" s="2">
        <v>0.126</v>
      </c>
      <c r="C70" s="2">
        <v>8.1000000000000003E-2</v>
      </c>
      <c r="D70" s="2">
        <v>6.6000000000000003E-2</v>
      </c>
      <c r="E70" s="2">
        <v>6.2E-2</v>
      </c>
      <c r="F70" s="2">
        <v>3.5999999999999997E-2</v>
      </c>
      <c r="G70" s="2">
        <v>2.1000000000000001E-2</v>
      </c>
      <c r="H70" s="2">
        <v>1.6E-2</v>
      </c>
      <c r="I70" s="3">
        <v>1</v>
      </c>
      <c r="J70" s="1"/>
      <c r="K70" s="1"/>
      <c r="L70" s="1"/>
    </row>
    <row r="71" spans="1:12" x14ac:dyDescent="0.25">
      <c r="A71" s="2">
        <v>0.50800000000000001</v>
      </c>
      <c r="B71" s="2">
        <v>0.126</v>
      </c>
      <c r="C71" s="2">
        <v>8.1000000000000003E-2</v>
      </c>
      <c r="D71" s="2">
        <v>6.6000000000000003E-2</v>
      </c>
      <c r="E71" s="2">
        <v>6.2E-2</v>
      </c>
      <c r="F71" s="2">
        <v>3.5999999999999997E-2</v>
      </c>
      <c r="G71" s="2">
        <v>2.1000000000000001E-2</v>
      </c>
      <c r="H71" s="2">
        <v>1.6E-2</v>
      </c>
      <c r="I71" s="3">
        <v>1</v>
      </c>
      <c r="J71" s="1"/>
      <c r="K71" s="1"/>
      <c r="L71" s="1"/>
    </row>
    <row r="72" spans="1:12" x14ac:dyDescent="0.25">
      <c r="A72" s="2">
        <v>0.50800000000000001</v>
      </c>
      <c r="B72" s="2">
        <v>0.126</v>
      </c>
      <c r="C72" s="2">
        <v>8.1000000000000003E-2</v>
      </c>
      <c r="D72" s="2">
        <v>6.6000000000000003E-2</v>
      </c>
      <c r="E72" s="2">
        <v>6.2E-2</v>
      </c>
      <c r="F72" s="2">
        <v>3.5999999999999997E-2</v>
      </c>
      <c r="G72" s="2">
        <v>2.1000000000000001E-2</v>
      </c>
      <c r="H72" s="2">
        <v>1.6E-2</v>
      </c>
      <c r="I72" s="3">
        <v>1</v>
      </c>
      <c r="J72" s="1"/>
      <c r="K72" s="1"/>
      <c r="L72" s="1"/>
    </row>
    <row r="73" spans="1:12" x14ac:dyDescent="0.25">
      <c r="A73" s="2">
        <v>0.50800000000000001</v>
      </c>
      <c r="B73" s="2">
        <v>0.126</v>
      </c>
      <c r="C73" s="2">
        <v>8.1000000000000003E-2</v>
      </c>
      <c r="D73" s="2">
        <v>6.6000000000000003E-2</v>
      </c>
      <c r="E73" s="2">
        <v>6.2E-2</v>
      </c>
      <c r="F73" s="2">
        <v>3.5999999999999997E-2</v>
      </c>
      <c r="G73" s="2">
        <v>2.1000000000000001E-2</v>
      </c>
      <c r="H73" s="2">
        <v>1.6E-2</v>
      </c>
      <c r="I73" s="3">
        <v>1</v>
      </c>
      <c r="J73" s="1"/>
      <c r="K73" s="1"/>
      <c r="L73" s="1"/>
    </row>
    <row r="74" spans="1:12" x14ac:dyDescent="0.25">
      <c r="A74" s="2">
        <v>0.50800000000000001</v>
      </c>
      <c r="B74" s="2">
        <v>0.126</v>
      </c>
      <c r="C74" s="2">
        <v>8.1000000000000003E-2</v>
      </c>
      <c r="D74" s="2">
        <v>6.6000000000000003E-2</v>
      </c>
      <c r="E74" s="2">
        <v>6.2E-2</v>
      </c>
      <c r="F74" s="2">
        <v>3.5999999999999997E-2</v>
      </c>
      <c r="G74" s="2">
        <v>2.1000000000000001E-2</v>
      </c>
      <c r="H74" s="2">
        <v>1.6E-2</v>
      </c>
      <c r="I74" s="3">
        <v>1</v>
      </c>
      <c r="J74" s="1"/>
      <c r="K74" s="1"/>
      <c r="L74" s="1"/>
    </row>
    <row r="75" spans="1:12" x14ac:dyDescent="0.25">
      <c r="A75" s="2">
        <v>0.50800000000000001</v>
      </c>
      <c r="B75" s="2">
        <v>0.126</v>
      </c>
      <c r="C75" s="2">
        <v>8.1000000000000003E-2</v>
      </c>
      <c r="D75" s="2">
        <v>6.6000000000000003E-2</v>
      </c>
      <c r="E75" s="2">
        <v>6.2E-2</v>
      </c>
      <c r="F75" s="2">
        <v>3.5999999999999997E-2</v>
      </c>
      <c r="G75" s="2">
        <v>2.1000000000000001E-2</v>
      </c>
      <c r="H75" s="2">
        <v>1.6E-2</v>
      </c>
      <c r="I75" s="3">
        <v>1</v>
      </c>
      <c r="J75" s="1"/>
      <c r="K75" s="1"/>
      <c r="L75" s="1"/>
    </row>
    <row r="76" spans="1:12" x14ac:dyDescent="0.25">
      <c r="A76" s="2">
        <v>0.50800000000000001</v>
      </c>
      <c r="B76" s="2">
        <v>0.126</v>
      </c>
      <c r="C76" s="2">
        <v>8.1000000000000003E-2</v>
      </c>
      <c r="D76" s="2">
        <v>6.6000000000000003E-2</v>
      </c>
      <c r="E76" s="2">
        <v>6.2E-2</v>
      </c>
      <c r="F76" s="2">
        <v>3.5999999999999997E-2</v>
      </c>
      <c r="G76" s="2">
        <v>2.1000000000000001E-2</v>
      </c>
      <c r="H76" s="2">
        <v>1.6E-2</v>
      </c>
      <c r="I76" s="3">
        <v>1</v>
      </c>
      <c r="J76" s="1"/>
      <c r="K76" s="1"/>
      <c r="L76" s="1"/>
    </row>
    <row r="77" spans="1:12" x14ac:dyDescent="0.25">
      <c r="A77" s="2">
        <v>0.50800000000000001</v>
      </c>
      <c r="B77" s="2">
        <v>0.126</v>
      </c>
      <c r="C77" s="2">
        <v>8.1000000000000003E-2</v>
      </c>
      <c r="D77" s="2">
        <v>6.6000000000000003E-2</v>
      </c>
      <c r="E77" s="2">
        <v>6.2E-2</v>
      </c>
      <c r="F77" s="2">
        <v>3.5999999999999997E-2</v>
      </c>
      <c r="G77" s="2">
        <v>2.1000000000000001E-2</v>
      </c>
      <c r="H77" s="2">
        <v>1.6E-2</v>
      </c>
      <c r="I77" s="3">
        <v>1</v>
      </c>
      <c r="J77" s="1"/>
      <c r="K77" s="1"/>
      <c r="L77" s="1"/>
    </row>
    <row r="78" spans="1:12" x14ac:dyDescent="0.25">
      <c r="A78" s="2">
        <v>0.50800000000000001</v>
      </c>
      <c r="B78" s="2">
        <v>0.126</v>
      </c>
      <c r="C78" s="2">
        <v>8.1000000000000003E-2</v>
      </c>
      <c r="D78" s="2">
        <v>6.6000000000000003E-2</v>
      </c>
      <c r="E78" s="2">
        <v>6.2E-2</v>
      </c>
      <c r="F78" s="2">
        <v>3.5999999999999997E-2</v>
      </c>
      <c r="G78" s="2">
        <v>2.1000000000000001E-2</v>
      </c>
      <c r="H78" s="2">
        <v>1.6E-2</v>
      </c>
      <c r="I78" s="3">
        <v>1</v>
      </c>
      <c r="J78" s="1"/>
      <c r="K78" s="1"/>
      <c r="L78" s="1"/>
    </row>
    <row r="79" spans="1:12" x14ac:dyDescent="0.25">
      <c r="A79" s="2">
        <v>0.50800000000000001</v>
      </c>
      <c r="B79" s="2">
        <v>0.126</v>
      </c>
      <c r="C79" s="2">
        <v>8.1000000000000003E-2</v>
      </c>
      <c r="D79" s="2">
        <v>6.6000000000000003E-2</v>
      </c>
      <c r="E79" s="2">
        <v>6.2E-2</v>
      </c>
      <c r="F79" s="2">
        <v>3.5999999999999997E-2</v>
      </c>
      <c r="G79" s="2">
        <v>2.1000000000000001E-2</v>
      </c>
      <c r="H79" s="2">
        <v>1.6E-2</v>
      </c>
      <c r="I79" s="3">
        <v>1</v>
      </c>
      <c r="J79" s="1"/>
      <c r="K79" s="1"/>
      <c r="L79" s="1"/>
    </row>
    <row r="80" spans="1:12" x14ac:dyDescent="0.25">
      <c r="A80" s="2">
        <v>0.50800000000000001</v>
      </c>
      <c r="B80" s="2">
        <v>0.126</v>
      </c>
      <c r="C80" s="2">
        <v>8.1000000000000003E-2</v>
      </c>
      <c r="D80" s="2">
        <v>6.6000000000000003E-2</v>
      </c>
      <c r="E80" s="2">
        <v>6.2E-2</v>
      </c>
      <c r="F80" s="2">
        <v>3.5999999999999997E-2</v>
      </c>
      <c r="G80" s="2">
        <v>2.1000000000000001E-2</v>
      </c>
      <c r="H80" s="2">
        <v>1.6E-2</v>
      </c>
      <c r="I80" s="3">
        <v>1</v>
      </c>
      <c r="J80" s="1"/>
      <c r="K80" s="1"/>
      <c r="L80" s="1"/>
    </row>
    <row r="81" spans="1:12" x14ac:dyDescent="0.25">
      <c r="A81" s="2">
        <v>0.50800000000000001</v>
      </c>
      <c r="B81" s="2">
        <v>0.126</v>
      </c>
      <c r="C81" s="2">
        <v>8.1000000000000003E-2</v>
      </c>
      <c r="D81" s="2">
        <v>6.6000000000000003E-2</v>
      </c>
      <c r="E81" s="2">
        <v>6.2E-2</v>
      </c>
      <c r="F81" s="2">
        <v>3.5999999999999997E-2</v>
      </c>
      <c r="G81" s="2">
        <v>2.1000000000000001E-2</v>
      </c>
      <c r="H81" s="2">
        <v>1.6E-2</v>
      </c>
      <c r="I81" s="3">
        <v>1</v>
      </c>
      <c r="J81" s="1"/>
      <c r="K81" s="1"/>
      <c r="L81" s="1"/>
    </row>
    <row r="82" spans="1:12" x14ac:dyDescent="0.25">
      <c r="A82" s="2">
        <v>0.50800000000000001</v>
      </c>
      <c r="B82" s="2">
        <v>0.126</v>
      </c>
      <c r="C82" s="2">
        <v>8.1000000000000003E-2</v>
      </c>
      <c r="D82" s="2">
        <v>6.6000000000000003E-2</v>
      </c>
      <c r="E82" s="2">
        <v>6.2E-2</v>
      </c>
      <c r="F82" s="2">
        <v>3.5999999999999997E-2</v>
      </c>
      <c r="G82" s="2">
        <v>2.1000000000000001E-2</v>
      </c>
      <c r="H82" s="2">
        <v>1.6E-2</v>
      </c>
      <c r="I82" s="3">
        <v>1</v>
      </c>
      <c r="J82" s="1"/>
      <c r="K82" s="1"/>
      <c r="L82" s="1"/>
    </row>
    <row r="83" spans="1:12" x14ac:dyDescent="0.25">
      <c r="A83" s="2">
        <v>0.50800000000000001</v>
      </c>
      <c r="B83" s="2">
        <v>0.126</v>
      </c>
      <c r="C83" s="2">
        <v>8.1000000000000003E-2</v>
      </c>
      <c r="D83" s="2">
        <v>6.6000000000000003E-2</v>
      </c>
      <c r="E83" s="2">
        <v>6.2E-2</v>
      </c>
      <c r="F83" s="2">
        <v>3.5999999999999997E-2</v>
      </c>
      <c r="G83" s="2">
        <v>2.1000000000000001E-2</v>
      </c>
      <c r="H83" s="2">
        <v>1.6E-2</v>
      </c>
      <c r="I83" s="3">
        <v>1</v>
      </c>
      <c r="J83" s="1"/>
      <c r="K83" s="1"/>
      <c r="L83" s="1"/>
    </row>
    <row r="84" spans="1:12" x14ac:dyDescent="0.25">
      <c r="A84" s="2">
        <v>0.50800000000000001</v>
      </c>
      <c r="B84" s="2">
        <v>0.126</v>
      </c>
      <c r="C84" s="2">
        <v>8.1000000000000003E-2</v>
      </c>
      <c r="D84" s="2">
        <v>6.6000000000000003E-2</v>
      </c>
      <c r="E84" s="2">
        <v>6.2E-2</v>
      </c>
      <c r="F84" s="2">
        <v>3.5999999999999997E-2</v>
      </c>
      <c r="G84" s="2">
        <v>2.1000000000000001E-2</v>
      </c>
      <c r="H84" s="2">
        <v>1.6E-2</v>
      </c>
      <c r="I84" s="3">
        <v>1</v>
      </c>
      <c r="J84" s="1"/>
      <c r="K84" s="1"/>
      <c r="L8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61AE-DD82-4DEB-8E74-DCEFB5048243}">
  <dimension ref="A1:X84"/>
  <sheetViews>
    <sheetView tabSelected="1" zoomScale="70" zoomScaleNormal="70" workbookViewId="0">
      <selection activeCell="X1" sqref="X1"/>
    </sheetView>
  </sheetViews>
  <sheetFormatPr defaultRowHeight="15" x14ac:dyDescent="0.25"/>
  <sheetData>
    <row r="1" spans="1:24" x14ac:dyDescent="0.25">
      <c r="A1" t="s">
        <v>33</v>
      </c>
      <c r="J1" s="1"/>
      <c r="K1" s="1"/>
      <c r="L1" s="1"/>
    </row>
    <row r="2" spans="1:24" x14ac:dyDescent="0.25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8</v>
      </c>
      <c r="J2" s="12" t="s">
        <v>17</v>
      </c>
      <c r="K2" s="12" t="s">
        <v>10</v>
      </c>
      <c r="L2" s="12" t="s">
        <v>11</v>
      </c>
      <c r="M2" s="13" t="s">
        <v>12</v>
      </c>
      <c r="N2" s="12" t="s">
        <v>13</v>
      </c>
      <c r="O2" s="12" t="s">
        <v>14</v>
      </c>
      <c r="P2" s="12" t="s">
        <v>18</v>
      </c>
      <c r="Q2" s="12" t="s">
        <v>19</v>
      </c>
      <c r="R2" s="12" t="s">
        <v>16</v>
      </c>
      <c r="S2" s="12" t="s">
        <v>15</v>
      </c>
      <c r="T2" s="14" t="s">
        <v>9</v>
      </c>
      <c r="U2" s="14" t="s">
        <v>55</v>
      </c>
      <c r="V2" s="14" t="s">
        <v>56</v>
      </c>
      <c r="W2" s="14" t="s">
        <v>57</v>
      </c>
      <c r="X2" s="14" t="s">
        <v>58</v>
      </c>
    </row>
    <row r="3" spans="1:24" x14ac:dyDescent="0.25">
      <c r="A3" s="8">
        <v>0.46100000000000002</v>
      </c>
      <c r="B3" s="8">
        <v>0.13900000000000001</v>
      </c>
      <c r="C3" s="8">
        <v>0.13200000000000001</v>
      </c>
      <c r="D3" s="8">
        <v>6.4000000000000001E-2</v>
      </c>
      <c r="E3" s="8">
        <v>3.5999999999999997E-2</v>
      </c>
      <c r="F3" s="8">
        <v>3.5000000000000003E-2</v>
      </c>
      <c r="G3" s="8">
        <v>2.5000000000000001E-2</v>
      </c>
      <c r="H3" s="8">
        <v>1.2999999999999999E-2</v>
      </c>
      <c r="I3" s="8">
        <v>0</v>
      </c>
      <c r="J3" s="10">
        <f t="shared" ref="J3:Q18" si="0">SUMSQ(A3-A45)</f>
        <v>2.0250000000000038E-3</v>
      </c>
      <c r="K3" s="10">
        <f t="shared" si="0"/>
        <v>1.5625E-2</v>
      </c>
      <c r="L3" s="10">
        <f t="shared" si="0"/>
        <v>6.7600000000000049E-4</v>
      </c>
      <c r="M3" s="8">
        <f t="shared" si="0"/>
        <v>4.0000000000000074E-6</v>
      </c>
      <c r="N3" s="10">
        <f t="shared" si="0"/>
        <v>6.3999999999999997E-5</v>
      </c>
      <c r="O3" s="10">
        <f t="shared" si="0"/>
        <v>4.9000000000000039E-5</v>
      </c>
      <c r="P3" s="10">
        <f t="shared" si="0"/>
        <v>8.1000000000000017E-5</v>
      </c>
      <c r="Q3" s="10">
        <f t="shared" si="0"/>
        <v>1.5999999999999999E-5</v>
      </c>
      <c r="R3" s="10">
        <f>SUM(J3:Q3)</f>
        <v>1.8540000000000004E-2</v>
      </c>
      <c r="S3" s="10">
        <f>SQRT(R3)</f>
        <v>0.13616166861492263</v>
      </c>
      <c r="T3" s="8">
        <v>1</v>
      </c>
      <c r="U3" s="8" t="s">
        <v>59</v>
      </c>
      <c r="V3" s="8">
        <v>17</v>
      </c>
      <c r="W3" s="8">
        <v>18</v>
      </c>
      <c r="X3" s="8">
        <v>35</v>
      </c>
    </row>
    <row r="4" spans="1:24" x14ac:dyDescent="0.25">
      <c r="A4" s="8">
        <v>0.49199999999999999</v>
      </c>
      <c r="B4" s="8">
        <v>0.13700000000000001</v>
      </c>
      <c r="C4" s="8">
        <v>0.11600000000000001</v>
      </c>
      <c r="D4" s="8">
        <v>9.0999999999999998E-2</v>
      </c>
      <c r="E4" s="8">
        <v>5.5E-2</v>
      </c>
      <c r="F4" s="8">
        <v>2.5999999999999999E-2</v>
      </c>
      <c r="G4" s="8">
        <v>1.4E-2</v>
      </c>
      <c r="H4" s="8">
        <v>1.0999999999999999E-2</v>
      </c>
      <c r="I4" s="8">
        <v>0</v>
      </c>
      <c r="J4" s="10">
        <f t="shared" si="0"/>
        <v>5.7760000000000016E-3</v>
      </c>
      <c r="K4" s="10">
        <f t="shared" si="0"/>
        <v>1.6129000000000001E-2</v>
      </c>
      <c r="L4" s="10">
        <f t="shared" si="0"/>
        <v>1.0000000000000018E-4</v>
      </c>
      <c r="M4" s="8">
        <f t="shared" si="0"/>
        <v>6.2499999999999969E-4</v>
      </c>
      <c r="N4" s="10">
        <f t="shared" si="0"/>
        <v>1.2100000000000007E-4</v>
      </c>
      <c r="O4" s="10">
        <f t="shared" si="0"/>
        <v>4.0000000000000074E-6</v>
      </c>
      <c r="P4" s="10">
        <f t="shared" si="0"/>
        <v>3.9999999999999998E-6</v>
      </c>
      <c r="Q4" s="10">
        <f t="shared" si="0"/>
        <v>3.9999999999999998E-6</v>
      </c>
      <c r="R4" s="10">
        <f t="shared" ref="R4:R42" si="1">SUM(J4:Q4)</f>
        <v>2.2763000000000002E-2</v>
      </c>
      <c r="S4" s="10">
        <f t="shared" ref="S4:S42" si="2">SQRT(R4)</f>
        <v>0.15087411971574186</v>
      </c>
      <c r="T4" s="8">
        <v>22</v>
      </c>
      <c r="U4" s="8" t="s">
        <v>59</v>
      </c>
      <c r="V4" s="8">
        <v>17</v>
      </c>
      <c r="W4" s="8">
        <v>18</v>
      </c>
      <c r="X4" s="8">
        <v>35</v>
      </c>
    </row>
    <row r="5" spans="1:24" x14ac:dyDescent="0.25">
      <c r="A5" s="8">
        <v>0.44700000000000001</v>
      </c>
      <c r="B5" s="8">
        <v>0.183</v>
      </c>
      <c r="C5" s="8">
        <v>0.129</v>
      </c>
      <c r="D5" s="8">
        <v>0.10299999999999999</v>
      </c>
      <c r="E5" s="8">
        <v>0.03</v>
      </c>
      <c r="F5" s="8">
        <v>2.1999999999999999E-2</v>
      </c>
      <c r="G5" s="8">
        <v>1.4E-2</v>
      </c>
      <c r="H5" s="8">
        <v>0.01</v>
      </c>
      <c r="I5" s="8">
        <v>0</v>
      </c>
      <c r="J5" s="10">
        <f t="shared" si="0"/>
        <v>9.6100000000000167E-4</v>
      </c>
      <c r="K5" s="10">
        <f t="shared" si="0"/>
        <v>6.5610000000000026E-3</v>
      </c>
      <c r="L5" s="10">
        <f t="shared" si="0"/>
        <v>5.2900000000000028E-4</v>
      </c>
      <c r="M5" s="8">
        <f t="shared" si="0"/>
        <v>1.3689999999999993E-3</v>
      </c>
      <c r="N5" s="10">
        <f t="shared" si="0"/>
        <v>1.9599999999999997E-4</v>
      </c>
      <c r="O5" s="10">
        <f t="shared" si="0"/>
        <v>3.6000000000000021E-5</v>
      </c>
      <c r="P5" s="10">
        <f t="shared" si="0"/>
        <v>3.9999999999999998E-6</v>
      </c>
      <c r="Q5" s="10">
        <f t="shared" si="0"/>
        <v>1.0000000000000019E-6</v>
      </c>
      <c r="R5" s="10">
        <f t="shared" si="1"/>
        <v>9.6570000000000024E-3</v>
      </c>
      <c r="S5" s="10">
        <f t="shared" si="2"/>
        <v>9.8270036124955218E-2</v>
      </c>
      <c r="T5" s="8">
        <v>23</v>
      </c>
      <c r="U5" s="8" t="s">
        <v>59</v>
      </c>
      <c r="V5" s="8">
        <v>17</v>
      </c>
      <c r="W5" s="8">
        <v>18</v>
      </c>
      <c r="X5" s="8">
        <v>35</v>
      </c>
    </row>
    <row r="6" spans="1:24" x14ac:dyDescent="0.25">
      <c r="A6" s="8">
        <v>0.438</v>
      </c>
      <c r="B6" s="8">
        <v>0.17499999999999999</v>
      </c>
      <c r="C6" s="8">
        <v>0.109</v>
      </c>
      <c r="D6" s="8">
        <v>5.1999999999999998E-2</v>
      </c>
      <c r="E6" s="8">
        <v>4.4999999999999998E-2</v>
      </c>
      <c r="F6" s="8">
        <v>3.3000000000000002E-2</v>
      </c>
      <c r="G6" s="8">
        <v>2.3E-2</v>
      </c>
      <c r="H6" s="8">
        <v>1.7999999999999999E-2</v>
      </c>
      <c r="I6" s="8">
        <v>0</v>
      </c>
      <c r="J6" s="10">
        <f t="shared" si="0"/>
        <v>4.8400000000000087E-4</v>
      </c>
      <c r="K6" s="10">
        <f t="shared" si="0"/>
        <v>7.9210000000000044E-3</v>
      </c>
      <c r="L6" s="10">
        <f t="shared" si="0"/>
        <v>9.0000000000000155E-6</v>
      </c>
      <c r="M6" s="8">
        <f t="shared" si="0"/>
        <v>1.9600000000000016E-4</v>
      </c>
      <c r="N6" s="10">
        <f t="shared" si="0"/>
        <v>1.0000000000000019E-6</v>
      </c>
      <c r="O6" s="10">
        <f t="shared" si="0"/>
        <v>2.5000000000000011E-5</v>
      </c>
      <c r="P6" s="10">
        <f t="shared" si="0"/>
        <v>4.8999999999999992E-5</v>
      </c>
      <c r="Q6" s="10">
        <f t="shared" si="0"/>
        <v>8.099999999999999E-5</v>
      </c>
      <c r="R6" s="10">
        <f t="shared" si="1"/>
        <v>8.7660000000000047E-3</v>
      </c>
      <c r="S6" s="10">
        <f t="shared" si="2"/>
        <v>9.362691920596343E-2</v>
      </c>
      <c r="T6" s="8">
        <v>24</v>
      </c>
      <c r="U6" s="8" t="s">
        <v>59</v>
      </c>
      <c r="V6" s="8">
        <v>17</v>
      </c>
      <c r="W6" s="8">
        <v>18</v>
      </c>
      <c r="X6" s="8">
        <v>35</v>
      </c>
    </row>
    <row r="7" spans="1:24" x14ac:dyDescent="0.25">
      <c r="A7" s="8">
        <v>0.57299999999999995</v>
      </c>
      <c r="B7" s="8">
        <v>0.129</v>
      </c>
      <c r="C7" s="8">
        <v>0.109</v>
      </c>
      <c r="D7" s="8">
        <v>5.8999999999999997E-2</v>
      </c>
      <c r="E7" s="8">
        <v>5.1999999999999998E-2</v>
      </c>
      <c r="F7" s="8">
        <v>1.7000000000000001E-2</v>
      </c>
      <c r="G7" s="8">
        <v>1.4999999999999999E-2</v>
      </c>
      <c r="H7" s="8">
        <v>7.0000000000000001E-3</v>
      </c>
      <c r="I7" s="8">
        <v>0</v>
      </c>
      <c r="J7" s="10">
        <f t="shared" si="0"/>
        <v>2.464899999999999E-2</v>
      </c>
      <c r="K7" s="10">
        <f t="shared" si="0"/>
        <v>1.8225000000000002E-2</v>
      </c>
      <c r="L7" s="10">
        <f t="shared" si="0"/>
        <v>9.0000000000000155E-6</v>
      </c>
      <c r="M7" s="8">
        <f t="shared" si="0"/>
        <v>4.9000000000000087E-5</v>
      </c>
      <c r="N7" s="10">
        <f t="shared" si="0"/>
        <v>6.3999999999999997E-5</v>
      </c>
      <c r="O7" s="10">
        <f t="shared" si="0"/>
        <v>1.2099999999999999E-4</v>
      </c>
      <c r="P7" s="10">
        <f t="shared" si="0"/>
        <v>1.0000000000000019E-6</v>
      </c>
      <c r="Q7" s="10">
        <f t="shared" si="0"/>
        <v>3.9999999999999964E-6</v>
      </c>
      <c r="R7" s="10">
        <f t="shared" si="1"/>
        <v>4.3122000000000001E-2</v>
      </c>
      <c r="S7" s="10">
        <f t="shared" si="2"/>
        <v>0.20765837329614234</v>
      </c>
      <c r="T7" s="8">
        <v>25</v>
      </c>
      <c r="U7" s="8" t="s">
        <v>59</v>
      </c>
      <c r="V7" s="8">
        <v>17</v>
      </c>
      <c r="W7" s="8">
        <v>18</v>
      </c>
      <c r="X7" s="8">
        <v>35</v>
      </c>
    </row>
    <row r="8" spans="1:24" x14ac:dyDescent="0.25">
      <c r="A8" s="8">
        <v>0.47699999999999998</v>
      </c>
      <c r="B8" s="8">
        <v>0.191</v>
      </c>
      <c r="C8" s="8">
        <v>7.5999999999999998E-2</v>
      </c>
      <c r="D8" s="8">
        <v>6.8000000000000005E-2</v>
      </c>
      <c r="E8" s="8">
        <v>0.06</v>
      </c>
      <c r="F8" s="8">
        <v>3.3000000000000002E-2</v>
      </c>
      <c r="G8" s="8">
        <v>1.6E-2</v>
      </c>
      <c r="H8" s="8">
        <v>1.2999999999999999E-2</v>
      </c>
      <c r="I8" s="8">
        <v>0</v>
      </c>
      <c r="J8" s="10">
        <f t="shared" si="0"/>
        <v>3.7209999999999999E-3</v>
      </c>
      <c r="K8" s="10">
        <f t="shared" si="0"/>
        <v>5.3290000000000013E-3</v>
      </c>
      <c r="L8" s="10">
        <f t="shared" si="0"/>
        <v>8.9999999999999998E-4</v>
      </c>
      <c r="M8" s="8">
        <f t="shared" si="0"/>
        <v>4.0000000000000074E-6</v>
      </c>
      <c r="N8" s="10">
        <f t="shared" si="0"/>
        <v>2.5599999999999999E-4</v>
      </c>
      <c r="O8" s="10">
        <f t="shared" si="0"/>
        <v>2.5000000000000011E-5</v>
      </c>
      <c r="P8" s="10">
        <f t="shared" si="0"/>
        <v>0</v>
      </c>
      <c r="Q8" s="10">
        <f t="shared" si="0"/>
        <v>1.5999999999999999E-5</v>
      </c>
      <c r="R8" s="10">
        <f t="shared" si="1"/>
        <v>1.0251000000000001E-2</v>
      </c>
      <c r="S8" s="10">
        <f t="shared" si="2"/>
        <v>0.10124722218411723</v>
      </c>
      <c r="T8" s="8">
        <v>26</v>
      </c>
      <c r="U8" s="8" t="s">
        <v>59</v>
      </c>
      <c r="V8" s="8">
        <v>17</v>
      </c>
      <c r="W8" s="8">
        <v>18</v>
      </c>
      <c r="X8" s="8">
        <v>35</v>
      </c>
    </row>
    <row r="9" spans="1:24" x14ac:dyDescent="0.25">
      <c r="A9" s="8">
        <v>0.499</v>
      </c>
      <c r="B9" s="8">
        <v>0.151</v>
      </c>
      <c r="C9" s="8">
        <v>0.114</v>
      </c>
      <c r="D9" s="8">
        <v>4.7E-2</v>
      </c>
      <c r="E9" s="8">
        <v>4.1000000000000002E-2</v>
      </c>
      <c r="F9" s="8">
        <v>2.4E-2</v>
      </c>
      <c r="G9" s="8">
        <v>0.02</v>
      </c>
      <c r="H9" s="8">
        <v>1.4999999999999999E-2</v>
      </c>
      <c r="I9" s="8">
        <v>0</v>
      </c>
      <c r="J9" s="10">
        <f t="shared" si="0"/>
        <v>6.8890000000000028E-3</v>
      </c>
      <c r="K9" s="10">
        <f t="shared" si="0"/>
        <v>1.2769000000000004E-2</v>
      </c>
      <c r="L9" s="10">
        <f t="shared" si="0"/>
        <v>6.4000000000000119E-5</v>
      </c>
      <c r="M9" s="8">
        <f t="shared" si="0"/>
        <v>3.610000000000001E-4</v>
      </c>
      <c r="N9" s="10">
        <f t="shared" si="0"/>
        <v>8.9999999999999748E-6</v>
      </c>
      <c r="O9" s="10">
        <f t="shared" si="0"/>
        <v>1.5999999999999999E-5</v>
      </c>
      <c r="P9" s="10">
        <f t="shared" si="0"/>
        <v>1.5999999999999999E-5</v>
      </c>
      <c r="Q9" s="10">
        <f t="shared" si="0"/>
        <v>3.6000000000000001E-5</v>
      </c>
      <c r="R9" s="10">
        <f t="shared" si="1"/>
        <v>2.0160000000000008E-2</v>
      </c>
      <c r="S9" s="10">
        <f t="shared" si="2"/>
        <v>0.14198591479439082</v>
      </c>
      <c r="T9" s="8">
        <v>27</v>
      </c>
      <c r="U9" s="8" t="s">
        <v>59</v>
      </c>
      <c r="V9" s="8">
        <v>17</v>
      </c>
      <c r="W9" s="8">
        <v>18</v>
      </c>
      <c r="X9" s="8">
        <v>35</v>
      </c>
    </row>
    <row r="10" spans="1:24" x14ac:dyDescent="0.25">
      <c r="A10" s="8">
        <v>0.61399999999999999</v>
      </c>
      <c r="B10" s="8">
        <v>0.19500000000000001</v>
      </c>
      <c r="C10" s="8">
        <v>5.8999999999999997E-2</v>
      </c>
      <c r="D10" s="8">
        <v>3.3000000000000002E-2</v>
      </c>
      <c r="E10" s="8">
        <v>2.1000000000000001E-2</v>
      </c>
      <c r="F10" s="8">
        <v>1.6E-2</v>
      </c>
      <c r="G10" s="8">
        <v>8.9999999999999993E-3</v>
      </c>
      <c r="H10" s="8">
        <v>7.0000000000000001E-3</v>
      </c>
      <c r="I10" s="8">
        <v>0</v>
      </c>
      <c r="J10" s="10">
        <f t="shared" si="0"/>
        <v>3.9204000000000003E-2</v>
      </c>
      <c r="K10" s="10">
        <f t="shared" si="0"/>
        <v>4.7610000000000005E-3</v>
      </c>
      <c r="L10" s="10">
        <f t="shared" si="0"/>
        <v>2.209E-3</v>
      </c>
      <c r="M10" s="8">
        <f t="shared" si="0"/>
        <v>1.0890000000000001E-3</v>
      </c>
      <c r="N10" s="10">
        <f t="shared" si="0"/>
        <v>5.2899999999999985E-4</v>
      </c>
      <c r="O10" s="10">
        <f t="shared" si="0"/>
        <v>1.44E-4</v>
      </c>
      <c r="P10" s="10">
        <f t="shared" si="0"/>
        <v>4.9000000000000012E-5</v>
      </c>
      <c r="Q10" s="10">
        <f t="shared" si="0"/>
        <v>3.9999999999999964E-6</v>
      </c>
      <c r="R10" s="10">
        <f t="shared" si="1"/>
        <v>4.7989000000000004E-2</v>
      </c>
      <c r="S10" s="10">
        <f t="shared" si="2"/>
        <v>0.21906391761310215</v>
      </c>
      <c r="T10" s="8">
        <v>28</v>
      </c>
      <c r="U10" s="8" t="s">
        <v>59</v>
      </c>
      <c r="V10" s="8">
        <v>17</v>
      </c>
      <c r="W10" s="8">
        <v>18</v>
      </c>
      <c r="X10" s="8">
        <v>35</v>
      </c>
    </row>
    <row r="11" spans="1:24" x14ac:dyDescent="0.25">
      <c r="A11" s="8">
        <v>0.47399999999999998</v>
      </c>
      <c r="B11" s="8">
        <v>0.21299999999999999</v>
      </c>
      <c r="C11" s="8">
        <v>6.8000000000000005E-2</v>
      </c>
      <c r="D11" s="8">
        <v>6.6000000000000003E-2</v>
      </c>
      <c r="E11" s="8">
        <v>3.9E-2</v>
      </c>
      <c r="F11" s="8">
        <v>2.9000000000000001E-2</v>
      </c>
      <c r="G11" s="8">
        <v>2.1999999999999999E-2</v>
      </c>
      <c r="H11" s="8">
        <v>1.7000000000000001E-2</v>
      </c>
      <c r="I11" s="8">
        <v>0</v>
      </c>
      <c r="J11" s="10">
        <f t="shared" si="0"/>
        <v>3.3639999999999994E-3</v>
      </c>
      <c r="K11" s="10">
        <f t="shared" si="0"/>
        <v>2.6010000000000017E-3</v>
      </c>
      <c r="L11" s="10">
        <f t="shared" si="0"/>
        <v>1.4439999999999993E-3</v>
      </c>
      <c r="M11" s="8">
        <f t="shared" si="0"/>
        <v>0</v>
      </c>
      <c r="N11" s="10">
        <f t="shared" si="0"/>
        <v>2.4999999999999974E-5</v>
      </c>
      <c r="O11" s="10">
        <f t="shared" si="0"/>
        <v>1.0000000000000019E-6</v>
      </c>
      <c r="P11" s="10">
        <f t="shared" si="0"/>
        <v>3.5999999999999981E-5</v>
      </c>
      <c r="Q11" s="10">
        <f t="shared" si="0"/>
        <v>6.4000000000000024E-5</v>
      </c>
      <c r="R11" s="10">
        <f t="shared" si="1"/>
        <v>7.535E-3</v>
      </c>
      <c r="S11" s="10">
        <f t="shared" si="2"/>
        <v>8.6804377769787625E-2</v>
      </c>
      <c r="T11" s="8">
        <v>29</v>
      </c>
      <c r="U11" s="8" t="s">
        <v>59</v>
      </c>
      <c r="V11" s="8">
        <v>17</v>
      </c>
      <c r="W11" s="8">
        <v>18</v>
      </c>
      <c r="X11" s="8">
        <v>35</v>
      </c>
    </row>
    <row r="12" spans="1:24" x14ac:dyDescent="0.25">
      <c r="A12" s="8">
        <v>0.41699999999999998</v>
      </c>
      <c r="B12" s="8">
        <v>0.23899999999999999</v>
      </c>
      <c r="C12" s="8">
        <v>6.8000000000000005E-2</v>
      </c>
      <c r="D12" s="8">
        <v>6.2E-2</v>
      </c>
      <c r="E12" s="8">
        <v>3.3000000000000002E-2</v>
      </c>
      <c r="F12" s="8">
        <v>3.1E-2</v>
      </c>
      <c r="G12" s="8">
        <v>2.5999999999999999E-2</v>
      </c>
      <c r="H12" s="8">
        <v>1.7999999999999999E-2</v>
      </c>
      <c r="I12" s="8">
        <v>0</v>
      </c>
      <c r="J12" s="10">
        <f t="shared" si="0"/>
        <v>1.0000000000000019E-6</v>
      </c>
      <c r="K12" s="10">
        <f t="shared" si="0"/>
        <v>6.250000000000011E-4</v>
      </c>
      <c r="L12" s="10">
        <f t="shared" si="0"/>
        <v>1.4439999999999993E-3</v>
      </c>
      <c r="M12" s="8">
        <f t="shared" si="0"/>
        <v>1.600000000000003E-5</v>
      </c>
      <c r="N12" s="10">
        <f t="shared" si="0"/>
        <v>1.2099999999999991E-4</v>
      </c>
      <c r="O12" s="10">
        <f t="shared" si="0"/>
        <v>8.9999999999999951E-6</v>
      </c>
      <c r="P12" s="10">
        <f t="shared" si="0"/>
        <v>9.9999999999999964E-5</v>
      </c>
      <c r="Q12" s="10">
        <f t="shared" si="0"/>
        <v>8.099999999999999E-5</v>
      </c>
      <c r="R12" s="10">
        <f t="shared" si="1"/>
        <v>2.3970000000000003E-3</v>
      </c>
      <c r="S12" s="10">
        <f t="shared" si="2"/>
        <v>4.8959166659574595E-2</v>
      </c>
      <c r="T12" s="8">
        <v>30</v>
      </c>
      <c r="U12" s="8" t="s">
        <v>59</v>
      </c>
      <c r="V12" s="8">
        <v>17</v>
      </c>
      <c r="W12" s="8">
        <v>18</v>
      </c>
      <c r="X12" s="8">
        <v>35</v>
      </c>
    </row>
    <row r="13" spans="1:24" x14ac:dyDescent="0.25">
      <c r="A13" s="8">
        <v>0.39700000000000002</v>
      </c>
      <c r="B13" s="8">
        <v>0.20100000000000001</v>
      </c>
      <c r="C13" s="8">
        <v>9.4E-2</v>
      </c>
      <c r="D13" s="8">
        <v>6.6000000000000003E-2</v>
      </c>
      <c r="E13" s="8">
        <v>5.3999999999999999E-2</v>
      </c>
      <c r="F13" s="8">
        <v>3.5000000000000003E-2</v>
      </c>
      <c r="G13" s="8">
        <v>2.9000000000000001E-2</v>
      </c>
      <c r="H13" s="8">
        <v>0.02</v>
      </c>
      <c r="I13" s="8">
        <v>0</v>
      </c>
      <c r="J13" s="10">
        <f t="shared" si="0"/>
        <v>3.6099999999999853E-4</v>
      </c>
      <c r="K13" s="10">
        <f t="shared" si="0"/>
        <v>3.9690000000000003E-3</v>
      </c>
      <c r="L13" s="10">
        <f t="shared" si="0"/>
        <v>1.4399999999999992E-4</v>
      </c>
      <c r="M13" s="8">
        <f t="shared" si="0"/>
        <v>0</v>
      </c>
      <c r="N13" s="10">
        <f t="shared" si="0"/>
        <v>1.0000000000000005E-4</v>
      </c>
      <c r="O13" s="10">
        <f t="shared" si="0"/>
        <v>4.9000000000000039E-5</v>
      </c>
      <c r="P13" s="10">
        <f t="shared" si="0"/>
        <v>1.6900000000000004E-4</v>
      </c>
      <c r="Q13" s="10">
        <f t="shared" si="0"/>
        <v>1.2100000000000003E-4</v>
      </c>
      <c r="R13" s="10">
        <f t="shared" si="1"/>
        <v>4.9129999999999998E-3</v>
      </c>
      <c r="S13" s="10">
        <f t="shared" si="2"/>
        <v>7.0092795635500221E-2</v>
      </c>
      <c r="T13" s="8">
        <v>31</v>
      </c>
      <c r="U13" s="8" t="s">
        <v>59</v>
      </c>
      <c r="V13" s="8">
        <v>17</v>
      </c>
      <c r="W13" s="8">
        <v>18</v>
      </c>
      <c r="X13" s="8">
        <v>35</v>
      </c>
    </row>
    <row r="14" spans="1:24" x14ac:dyDescent="0.25">
      <c r="A14" s="8">
        <v>0.35099999999999998</v>
      </c>
      <c r="B14" s="8">
        <v>0.24</v>
      </c>
      <c r="C14" s="8">
        <v>0.156</v>
      </c>
      <c r="D14" s="8">
        <v>5.5E-2</v>
      </c>
      <c r="E14" s="8">
        <v>4.7E-2</v>
      </c>
      <c r="F14" s="8">
        <v>0.03</v>
      </c>
      <c r="G14" s="8">
        <v>2.1000000000000001E-2</v>
      </c>
      <c r="H14" s="8">
        <v>1.9E-2</v>
      </c>
      <c r="I14" s="8">
        <v>0</v>
      </c>
      <c r="J14" s="10">
        <f t="shared" si="0"/>
        <v>4.2250000000000005E-3</v>
      </c>
      <c r="K14" s="10">
        <f t="shared" si="0"/>
        <v>5.7600000000000099E-4</v>
      </c>
      <c r="L14" s="10">
        <f t="shared" si="0"/>
        <v>2.5000000000000005E-3</v>
      </c>
      <c r="M14" s="8">
        <f t="shared" si="0"/>
        <v>1.2100000000000007E-4</v>
      </c>
      <c r="N14" s="10">
        <f t="shared" si="0"/>
        <v>9.0000000000000155E-6</v>
      </c>
      <c r="O14" s="10">
        <f t="shared" si="0"/>
        <v>3.999999999999993E-6</v>
      </c>
      <c r="P14" s="10">
        <f t="shared" si="0"/>
        <v>2.5000000000000011E-5</v>
      </c>
      <c r="Q14" s="10">
        <f t="shared" si="0"/>
        <v>1E-4</v>
      </c>
      <c r="R14" s="10">
        <f t="shared" si="1"/>
        <v>7.5600000000000025E-3</v>
      </c>
      <c r="S14" s="10">
        <f t="shared" si="2"/>
        <v>8.6948260477136649E-2</v>
      </c>
      <c r="T14" s="8">
        <v>32</v>
      </c>
      <c r="U14" s="8" t="s">
        <v>59</v>
      </c>
      <c r="V14" s="8">
        <v>17</v>
      </c>
      <c r="W14" s="8">
        <v>18</v>
      </c>
      <c r="X14" s="8">
        <v>35</v>
      </c>
    </row>
    <row r="15" spans="1:24" x14ac:dyDescent="0.25">
      <c r="A15" s="8">
        <v>0.53200000000000003</v>
      </c>
      <c r="B15" s="8">
        <v>0.16400000000000001</v>
      </c>
      <c r="C15" s="8">
        <v>0.115</v>
      </c>
      <c r="D15" s="8">
        <v>5.8000000000000003E-2</v>
      </c>
      <c r="E15" s="8">
        <v>3.1E-2</v>
      </c>
      <c r="F15" s="8">
        <v>2.3E-2</v>
      </c>
      <c r="G15" s="8">
        <v>1.9E-2</v>
      </c>
      <c r="H15" s="8">
        <v>8.0000000000000002E-3</v>
      </c>
      <c r="I15" s="8">
        <v>0</v>
      </c>
      <c r="J15" s="10">
        <f t="shared" si="0"/>
        <v>1.3456000000000011E-2</v>
      </c>
      <c r="K15" s="10">
        <f t="shared" si="0"/>
        <v>1.0000000000000002E-2</v>
      </c>
      <c r="L15" s="10">
        <f t="shared" si="0"/>
        <v>8.1000000000000139E-5</v>
      </c>
      <c r="M15" s="8">
        <f t="shared" si="0"/>
        <v>6.3999999999999997E-5</v>
      </c>
      <c r="N15" s="10">
        <f t="shared" si="0"/>
        <v>1.6899999999999993E-4</v>
      </c>
      <c r="O15" s="10">
        <f t="shared" si="0"/>
        <v>2.5000000000000011E-5</v>
      </c>
      <c r="P15" s="10">
        <f t="shared" si="0"/>
        <v>8.9999999999999951E-6</v>
      </c>
      <c r="Q15" s="10">
        <f t="shared" si="0"/>
        <v>9.9999999999999826E-7</v>
      </c>
      <c r="R15" s="10">
        <f t="shared" si="1"/>
        <v>2.3805000000000014E-2</v>
      </c>
      <c r="S15" s="10">
        <f t="shared" si="2"/>
        <v>0.15428869044748553</v>
      </c>
      <c r="T15" s="8">
        <v>33</v>
      </c>
      <c r="U15" s="8" t="s">
        <v>59</v>
      </c>
      <c r="V15" s="8">
        <v>17</v>
      </c>
      <c r="W15" s="8">
        <v>18</v>
      </c>
      <c r="X15" s="8">
        <v>35</v>
      </c>
    </row>
    <row r="16" spans="1:24" x14ac:dyDescent="0.25">
      <c r="A16" s="8">
        <v>0.29099999999999998</v>
      </c>
      <c r="B16" s="8">
        <v>0.13800000000000001</v>
      </c>
      <c r="C16" s="8">
        <v>0.113</v>
      </c>
      <c r="D16" s="8">
        <v>8.8999999999999996E-2</v>
      </c>
      <c r="E16" s="8">
        <v>5.6000000000000001E-2</v>
      </c>
      <c r="F16" s="8">
        <v>4.4999999999999998E-2</v>
      </c>
      <c r="G16" s="8">
        <v>0.04</v>
      </c>
      <c r="H16" s="8">
        <v>3.5999999999999997E-2</v>
      </c>
      <c r="I16" s="8">
        <v>0</v>
      </c>
      <c r="J16" s="10">
        <f t="shared" si="0"/>
        <v>1.5625E-2</v>
      </c>
      <c r="K16" s="10">
        <f t="shared" si="0"/>
        <v>1.5876000000000001E-2</v>
      </c>
      <c r="L16" s="10">
        <f t="shared" si="0"/>
        <v>4.9000000000000087E-5</v>
      </c>
      <c r="M16" s="8">
        <f t="shared" si="0"/>
        <v>5.2899999999999963E-4</v>
      </c>
      <c r="N16" s="10">
        <f t="shared" si="0"/>
        <v>1.4400000000000008E-4</v>
      </c>
      <c r="O16" s="10">
        <f t="shared" si="0"/>
        <v>2.8899999999999992E-4</v>
      </c>
      <c r="P16" s="10">
        <f t="shared" si="0"/>
        <v>5.7600000000000001E-4</v>
      </c>
      <c r="Q16" s="10">
        <f t="shared" si="0"/>
        <v>7.2899999999999983E-4</v>
      </c>
      <c r="R16" s="10">
        <f t="shared" si="1"/>
        <v>3.3817E-2</v>
      </c>
      <c r="S16" s="10">
        <f t="shared" si="2"/>
        <v>0.18389399120145281</v>
      </c>
      <c r="T16" s="8">
        <v>34</v>
      </c>
      <c r="U16" s="8" t="s">
        <v>59</v>
      </c>
      <c r="V16" s="8">
        <v>17</v>
      </c>
      <c r="W16" s="8">
        <v>18</v>
      </c>
      <c r="X16" s="8">
        <v>35</v>
      </c>
    </row>
    <row r="17" spans="1:24" x14ac:dyDescent="0.25">
      <c r="A17" s="8">
        <v>0.45100000000000001</v>
      </c>
      <c r="B17" s="8">
        <v>0.221</v>
      </c>
      <c r="C17" s="8">
        <v>0.14000000000000001</v>
      </c>
      <c r="D17" s="8">
        <v>4.8000000000000001E-2</v>
      </c>
      <c r="E17" s="8">
        <v>3.4000000000000002E-2</v>
      </c>
      <c r="F17" s="8">
        <v>0.02</v>
      </c>
      <c r="G17" s="8">
        <v>1.2999999999999999E-2</v>
      </c>
      <c r="H17" s="8">
        <v>8.9999999999999993E-3</v>
      </c>
      <c r="I17" s="8">
        <v>0</v>
      </c>
      <c r="J17" s="10">
        <f t="shared" si="0"/>
        <v>1.2250000000000021E-3</v>
      </c>
      <c r="K17" s="10">
        <f t="shared" si="0"/>
        <v>1.8490000000000008E-3</v>
      </c>
      <c r="L17" s="10">
        <f t="shared" si="0"/>
        <v>1.1560000000000012E-3</v>
      </c>
      <c r="M17" s="8">
        <f t="shared" si="0"/>
        <v>3.2400000000000007E-4</v>
      </c>
      <c r="N17" s="10">
        <f t="shared" si="0"/>
        <v>9.9999999999999896E-5</v>
      </c>
      <c r="O17" s="10">
        <f t="shared" si="0"/>
        <v>6.3999999999999997E-5</v>
      </c>
      <c r="P17" s="10">
        <f t="shared" si="0"/>
        <v>9.0000000000000053E-6</v>
      </c>
      <c r="Q17" s="10">
        <f t="shared" si="0"/>
        <v>0</v>
      </c>
      <c r="R17" s="10">
        <f t="shared" si="1"/>
        <v>4.7270000000000046E-3</v>
      </c>
      <c r="S17" s="10">
        <f t="shared" si="2"/>
        <v>6.8753181744556413E-2</v>
      </c>
      <c r="T17" s="8">
        <v>35</v>
      </c>
      <c r="U17" s="8" t="s">
        <v>59</v>
      </c>
      <c r="V17" s="8">
        <v>17</v>
      </c>
      <c r="W17" s="8">
        <v>18</v>
      </c>
      <c r="X17" s="8">
        <v>35</v>
      </c>
    </row>
    <row r="18" spans="1:24" x14ac:dyDescent="0.25">
      <c r="A18" s="22">
        <v>0.38700000000000001</v>
      </c>
      <c r="B18" s="22">
        <v>0.28399999999999997</v>
      </c>
      <c r="C18" s="22">
        <v>8.5999999999999993E-2</v>
      </c>
      <c r="D18" s="22">
        <v>5.8000000000000003E-2</v>
      </c>
      <c r="E18" s="22">
        <v>3.3000000000000002E-2</v>
      </c>
      <c r="F18" s="22">
        <v>2.8000000000000001E-2</v>
      </c>
      <c r="G18" s="22">
        <v>2.1000000000000001E-2</v>
      </c>
      <c r="H18" s="22">
        <v>1.9E-2</v>
      </c>
      <c r="I18" s="22">
        <v>0</v>
      </c>
      <c r="J18" s="7">
        <f t="shared" si="0"/>
        <v>8.4099999999999832E-4</v>
      </c>
      <c r="K18" s="7">
        <f t="shared" si="0"/>
        <v>3.999999999999985E-4</v>
      </c>
      <c r="L18" s="7">
        <f t="shared" si="0"/>
        <v>4.0000000000000018E-4</v>
      </c>
      <c r="M18" s="22">
        <f t="shared" si="0"/>
        <v>6.3999999999999997E-5</v>
      </c>
      <c r="N18" s="7">
        <f t="shared" si="0"/>
        <v>1.2099999999999991E-4</v>
      </c>
      <c r="O18" s="7">
        <f t="shared" si="0"/>
        <v>0</v>
      </c>
      <c r="P18" s="7">
        <f t="shared" si="0"/>
        <v>2.5000000000000011E-5</v>
      </c>
      <c r="Q18" s="7">
        <f t="shared" si="0"/>
        <v>1E-4</v>
      </c>
      <c r="R18" s="7">
        <f t="shared" si="1"/>
        <v>1.950999999999997E-3</v>
      </c>
      <c r="S18" s="7">
        <f t="shared" si="2"/>
        <v>4.4170125650715521E-2</v>
      </c>
      <c r="T18" s="22">
        <v>36</v>
      </c>
      <c r="U18" s="22" t="s">
        <v>60</v>
      </c>
      <c r="V18" s="22">
        <v>17</v>
      </c>
      <c r="W18" s="22">
        <v>18</v>
      </c>
      <c r="X18" s="22">
        <v>35</v>
      </c>
    </row>
    <row r="19" spans="1:24" x14ac:dyDescent="0.25">
      <c r="A19" s="22">
        <v>0.52400000000000002</v>
      </c>
      <c r="B19" s="22">
        <v>0.13300000000000001</v>
      </c>
      <c r="C19" s="22">
        <v>0.109</v>
      </c>
      <c r="D19" s="22">
        <v>0.06</v>
      </c>
      <c r="E19" s="22">
        <v>0.03</v>
      </c>
      <c r="F19" s="22">
        <v>2.3E-2</v>
      </c>
      <c r="G19" s="22">
        <v>1.9E-2</v>
      </c>
      <c r="H19" s="22">
        <v>1.2E-2</v>
      </c>
      <c r="I19" s="22">
        <v>0</v>
      </c>
      <c r="J19" s="7">
        <f t="shared" ref="J19:Q42" si="3">SUMSQ(A19-A61)</f>
        <v>1.1664000000000009E-2</v>
      </c>
      <c r="K19" s="7">
        <f t="shared" si="3"/>
        <v>1.7161000000000003E-2</v>
      </c>
      <c r="L19" s="7">
        <f t="shared" si="3"/>
        <v>9.0000000000000155E-6</v>
      </c>
      <c r="M19" s="22">
        <f t="shared" si="3"/>
        <v>3.6000000000000062E-5</v>
      </c>
      <c r="N19" s="7">
        <f t="shared" si="3"/>
        <v>1.9599999999999997E-4</v>
      </c>
      <c r="O19" s="7">
        <f t="shared" si="3"/>
        <v>2.5000000000000011E-5</v>
      </c>
      <c r="P19" s="7">
        <f t="shared" si="3"/>
        <v>8.9999999999999951E-6</v>
      </c>
      <c r="Q19" s="7">
        <f t="shared" si="3"/>
        <v>9.0000000000000053E-6</v>
      </c>
      <c r="R19" s="7">
        <f t="shared" si="1"/>
        <v>2.9109000000000006E-2</v>
      </c>
      <c r="S19" s="7">
        <f t="shared" si="2"/>
        <v>0.17061359852016489</v>
      </c>
      <c r="T19" s="22">
        <v>37</v>
      </c>
      <c r="U19" s="22" t="s">
        <v>60</v>
      </c>
      <c r="V19" s="22">
        <v>17</v>
      </c>
      <c r="W19" s="22">
        <v>18</v>
      </c>
      <c r="X19" s="22">
        <v>35</v>
      </c>
    </row>
    <row r="20" spans="1:24" x14ac:dyDescent="0.25">
      <c r="A20" s="2">
        <v>0.436</v>
      </c>
      <c r="B20" s="2">
        <v>0.25700000000000001</v>
      </c>
      <c r="C20" s="2">
        <v>0.10299999999999999</v>
      </c>
      <c r="D20" s="2">
        <v>0.08</v>
      </c>
      <c r="E20" s="2">
        <v>2.4E-2</v>
      </c>
      <c r="F20" s="2">
        <v>2.1000000000000001E-2</v>
      </c>
      <c r="G20" s="2">
        <v>1.4E-2</v>
      </c>
      <c r="H20" s="2">
        <v>1.0999999999999999E-2</v>
      </c>
      <c r="I20" s="2">
        <v>0</v>
      </c>
      <c r="J20" s="7">
        <f t="shared" si="3"/>
        <v>4.0000000000000072E-4</v>
      </c>
      <c r="K20" s="7">
        <f t="shared" si="3"/>
        <v>4.9000000000000087E-5</v>
      </c>
      <c r="L20" s="7">
        <f t="shared" si="3"/>
        <v>9.0000000000000155E-6</v>
      </c>
      <c r="M20" s="2">
        <f t="shared" si="3"/>
        <v>1.9599999999999997E-4</v>
      </c>
      <c r="N20" s="7">
        <f t="shared" si="3"/>
        <v>3.9999999999999986E-4</v>
      </c>
      <c r="O20" s="7">
        <f t="shared" si="3"/>
        <v>4.8999999999999992E-5</v>
      </c>
      <c r="P20" s="7">
        <f t="shared" si="3"/>
        <v>3.9999999999999998E-6</v>
      </c>
      <c r="Q20" s="7">
        <f t="shared" si="3"/>
        <v>3.9999999999999998E-6</v>
      </c>
      <c r="R20" s="7">
        <f t="shared" si="1"/>
        <v>1.1110000000000009E-3</v>
      </c>
      <c r="S20" s="7">
        <f t="shared" si="2"/>
        <v>3.3331666624997931E-2</v>
      </c>
      <c r="T20" s="2">
        <v>38</v>
      </c>
      <c r="U20" s="2" t="s">
        <v>60</v>
      </c>
      <c r="V20" s="2">
        <v>17</v>
      </c>
      <c r="W20" s="2">
        <v>18</v>
      </c>
      <c r="X20" s="2">
        <v>35</v>
      </c>
    </row>
    <row r="21" spans="1:24" x14ac:dyDescent="0.25">
      <c r="A21" s="9">
        <v>0.57799999999999996</v>
      </c>
      <c r="B21" s="9">
        <v>0.153</v>
      </c>
      <c r="C21" s="9">
        <v>0.122</v>
      </c>
      <c r="D21" s="9">
        <v>3.9E-2</v>
      </c>
      <c r="E21" s="9">
        <v>2.3E-2</v>
      </c>
      <c r="F21" s="9">
        <v>1.7000000000000001E-2</v>
      </c>
      <c r="G21" s="9">
        <v>1.2E-2</v>
      </c>
      <c r="H21" s="9">
        <v>8.0000000000000002E-3</v>
      </c>
      <c r="I21" s="9">
        <v>0</v>
      </c>
      <c r="J21" s="11">
        <f t="shared" si="3"/>
        <v>2.6243999999999993E-2</v>
      </c>
      <c r="K21" s="11">
        <f t="shared" si="3"/>
        <v>1.2321000000000004E-2</v>
      </c>
      <c r="L21" s="11">
        <f t="shared" si="3"/>
        <v>2.5599999999999999E-4</v>
      </c>
      <c r="M21" s="9">
        <f t="shared" si="3"/>
        <v>7.2900000000000016E-4</v>
      </c>
      <c r="N21" s="11">
        <f t="shared" si="3"/>
        <v>4.4099999999999993E-4</v>
      </c>
      <c r="O21" s="11">
        <f t="shared" si="3"/>
        <v>1.2099999999999999E-4</v>
      </c>
      <c r="P21" s="11">
        <f t="shared" si="3"/>
        <v>1.5999999999999999E-5</v>
      </c>
      <c r="Q21" s="11">
        <f t="shared" si="3"/>
        <v>9.9999999999999826E-7</v>
      </c>
      <c r="R21" s="11">
        <f t="shared" si="1"/>
        <v>4.0128999999999998E-2</v>
      </c>
      <c r="S21" s="11">
        <f t="shared" si="2"/>
        <v>0.20032224040280699</v>
      </c>
      <c r="T21" s="9">
        <v>21</v>
      </c>
      <c r="U21" s="9" t="s">
        <v>59</v>
      </c>
      <c r="V21" s="9">
        <v>17</v>
      </c>
      <c r="W21" s="9">
        <v>18</v>
      </c>
      <c r="X21" s="9">
        <v>35</v>
      </c>
    </row>
    <row r="22" spans="1:24" x14ac:dyDescent="0.25">
      <c r="A22" s="9">
        <v>0.41599999999999998</v>
      </c>
      <c r="B22" s="9">
        <v>0.251</v>
      </c>
      <c r="C22" s="9">
        <v>7.2999999999999995E-2</v>
      </c>
      <c r="D22" s="9">
        <v>5.2999999999999999E-2</v>
      </c>
      <c r="E22" s="9">
        <v>4.8000000000000001E-2</v>
      </c>
      <c r="F22" s="9">
        <v>3.7999999999999999E-2</v>
      </c>
      <c r="G22" s="9">
        <v>2.1999999999999999E-2</v>
      </c>
      <c r="H22" s="9">
        <v>1.7000000000000001E-2</v>
      </c>
      <c r="I22" s="9">
        <v>0</v>
      </c>
      <c r="J22" s="11">
        <f t="shared" si="3"/>
        <v>0</v>
      </c>
      <c r="K22" s="11">
        <f t="shared" si="3"/>
        <v>1.6900000000000031E-4</v>
      </c>
      <c r="L22" s="11">
        <f t="shared" si="3"/>
        <v>1.0890000000000001E-3</v>
      </c>
      <c r="M22" s="9">
        <f t="shared" si="3"/>
        <v>1.6900000000000012E-4</v>
      </c>
      <c r="N22" s="11">
        <f t="shared" si="3"/>
        <v>1.600000000000003E-5</v>
      </c>
      <c r="O22" s="11">
        <f t="shared" si="3"/>
        <v>9.9999999999999964E-5</v>
      </c>
      <c r="P22" s="11">
        <f t="shared" si="3"/>
        <v>3.5999999999999981E-5</v>
      </c>
      <c r="Q22" s="11">
        <f t="shared" si="3"/>
        <v>6.4000000000000024E-5</v>
      </c>
      <c r="R22" s="11">
        <f t="shared" si="1"/>
        <v>1.6430000000000006E-3</v>
      </c>
      <c r="S22" s="11">
        <f t="shared" si="2"/>
        <v>4.0533936399022495E-2</v>
      </c>
      <c r="T22" s="9">
        <v>20</v>
      </c>
      <c r="U22" s="9" t="s">
        <v>59</v>
      </c>
      <c r="V22" s="9">
        <v>17</v>
      </c>
      <c r="W22" s="9">
        <v>18</v>
      </c>
      <c r="X22" s="9">
        <v>35</v>
      </c>
    </row>
    <row r="23" spans="1:24" x14ac:dyDescent="0.25">
      <c r="A23" s="9">
        <v>0.45400000000000001</v>
      </c>
      <c r="B23" s="9">
        <v>0.17399999999999999</v>
      </c>
      <c r="C23" s="9">
        <v>0.11700000000000001</v>
      </c>
      <c r="D23" s="9">
        <v>0.106</v>
      </c>
      <c r="E23" s="9">
        <v>3.2000000000000001E-2</v>
      </c>
      <c r="F23" s="9">
        <v>2.7E-2</v>
      </c>
      <c r="G23" s="9">
        <v>1.2999999999999999E-2</v>
      </c>
      <c r="H23" s="9">
        <v>0.01</v>
      </c>
      <c r="I23" s="9">
        <v>1</v>
      </c>
      <c r="J23" s="11">
        <f t="shared" si="3"/>
        <v>1.4440000000000026E-3</v>
      </c>
      <c r="K23" s="11">
        <f t="shared" si="3"/>
        <v>8.1000000000000048E-3</v>
      </c>
      <c r="L23" s="11">
        <f t="shared" si="3"/>
        <v>1.2100000000000022E-4</v>
      </c>
      <c r="M23" s="9">
        <f t="shared" si="3"/>
        <v>1.5999999999999994E-3</v>
      </c>
      <c r="N23" s="11">
        <f t="shared" si="3"/>
        <v>1.4399999999999992E-4</v>
      </c>
      <c r="O23" s="11">
        <f t="shared" si="3"/>
        <v>1.0000000000000019E-6</v>
      </c>
      <c r="P23" s="11">
        <f t="shared" si="3"/>
        <v>9.0000000000000053E-6</v>
      </c>
      <c r="Q23" s="11">
        <f t="shared" si="3"/>
        <v>1.0000000000000019E-6</v>
      </c>
      <c r="R23" s="11">
        <f t="shared" si="1"/>
        <v>1.1420000000000005E-2</v>
      </c>
      <c r="S23" s="11">
        <f t="shared" si="2"/>
        <v>0.10686440005914039</v>
      </c>
      <c r="T23" s="9">
        <v>19</v>
      </c>
      <c r="U23" s="9" t="s">
        <v>59</v>
      </c>
      <c r="V23" s="9">
        <v>17</v>
      </c>
      <c r="W23" s="9">
        <v>18</v>
      </c>
      <c r="X23" s="9">
        <v>35</v>
      </c>
    </row>
    <row r="24" spans="1:24" x14ac:dyDescent="0.25">
      <c r="A24" s="9">
        <v>0.40300000000000002</v>
      </c>
      <c r="B24" s="9">
        <v>0.249</v>
      </c>
      <c r="C24" s="9">
        <v>0.13100000000000001</v>
      </c>
      <c r="D24" s="9">
        <v>4.2000000000000003E-2</v>
      </c>
      <c r="E24" s="9">
        <v>3.2000000000000001E-2</v>
      </c>
      <c r="F24" s="9">
        <v>2.8000000000000001E-2</v>
      </c>
      <c r="G24" s="9">
        <v>2.4E-2</v>
      </c>
      <c r="H24" s="9">
        <v>1.2999999999999999E-2</v>
      </c>
      <c r="I24" s="9">
        <v>1</v>
      </c>
      <c r="J24" s="11">
        <f t="shared" si="3"/>
        <v>1.6899999999999885E-4</v>
      </c>
      <c r="K24" s="11">
        <f t="shared" si="3"/>
        <v>2.250000000000004E-4</v>
      </c>
      <c r="L24" s="11">
        <f t="shared" si="3"/>
        <v>6.2500000000000045E-4</v>
      </c>
      <c r="M24" s="9">
        <f t="shared" si="3"/>
        <v>5.7600000000000001E-4</v>
      </c>
      <c r="N24" s="11">
        <f t="shared" si="3"/>
        <v>1.4399999999999992E-4</v>
      </c>
      <c r="O24" s="11">
        <f t="shared" si="3"/>
        <v>0</v>
      </c>
      <c r="P24" s="11">
        <f t="shared" si="3"/>
        <v>6.3999999999999997E-5</v>
      </c>
      <c r="Q24" s="11">
        <f t="shared" si="3"/>
        <v>1.5999999999999999E-5</v>
      </c>
      <c r="R24" s="11">
        <f t="shared" si="1"/>
        <v>1.8189999999999997E-3</v>
      </c>
      <c r="S24" s="11">
        <f t="shared" si="2"/>
        <v>4.264973622427224E-2</v>
      </c>
      <c r="T24" s="9">
        <v>9</v>
      </c>
      <c r="U24" s="9" t="s">
        <v>59</v>
      </c>
      <c r="V24" s="9">
        <v>17</v>
      </c>
      <c r="W24" s="9">
        <v>18</v>
      </c>
      <c r="X24" s="9">
        <v>35</v>
      </c>
    </row>
    <row r="25" spans="1:24" x14ac:dyDescent="0.25">
      <c r="A25" s="9">
        <v>0.38400000000000001</v>
      </c>
      <c r="B25" s="9">
        <v>0.30099999999999999</v>
      </c>
      <c r="C25" s="9">
        <v>0.13200000000000001</v>
      </c>
      <c r="D25" s="9">
        <v>4.3999999999999997E-2</v>
      </c>
      <c r="E25" s="9">
        <v>2.3E-2</v>
      </c>
      <c r="F25" s="9">
        <v>0.02</v>
      </c>
      <c r="G25" s="9">
        <v>1.7000000000000001E-2</v>
      </c>
      <c r="H25" s="9">
        <v>1.4E-2</v>
      </c>
      <c r="I25" s="9">
        <v>1</v>
      </c>
      <c r="J25" s="11">
        <f t="shared" si="3"/>
        <v>1.0239999999999982E-3</v>
      </c>
      <c r="K25" s="11">
        <f t="shared" si="3"/>
        <v>1.3689999999999983E-3</v>
      </c>
      <c r="L25" s="11">
        <f t="shared" si="3"/>
        <v>6.7600000000000049E-4</v>
      </c>
      <c r="M25" s="9">
        <f t="shared" si="3"/>
        <v>4.8400000000000027E-4</v>
      </c>
      <c r="N25" s="11">
        <f t="shared" si="3"/>
        <v>4.4099999999999993E-4</v>
      </c>
      <c r="O25" s="11">
        <f t="shared" si="3"/>
        <v>6.3999999999999997E-5</v>
      </c>
      <c r="P25" s="11">
        <f t="shared" si="3"/>
        <v>1.0000000000000019E-6</v>
      </c>
      <c r="Q25" s="11">
        <f t="shared" si="3"/>
        <v>2.5000000000000011E-5</v>
      </c>
      <c r="R25" s="11">
        <f t="shared" si="1"/>
        <v>4.0839999999999965E-3</v>
      </c>
      <c r="S25" s="11">
        <f t="shared" si="2"/>
        <v>6.3906181234681808E-2</v>
      </c>
      <c r="T25" s="9">
        <v>2</v>
      </c>
      <c r="U25" s="9" t="s">
        <v>59</v>
      </c>
      <c r="V25" s="9">
        <v>17</v>
      </c>
      <c r="W25" s="9">
        <v>18</v>
      </c>
      <c r="X25" s="9">
        <v>35</v>
      </c>
    </row>
    <row r="26" spans="1:24" x14ac:dyDescent="0.25">
      <c r="A26" s="9">
        <v>0.33100000000000002</v>
      </c>
      <c r="B26" s="9">
        <v>0.155</v>
      </c>
      <c r="C26" s="9">
        <v>0.114</v>
      </c>
      <c r="D26" s="9">
        <v>9.4E-2</v>
      </c>
      <c r="E26" s="9">
        <v>6.0999999999999999E-2</v>
      </c>
      <c r="F26" s="9">
        <v>4.4999999999999998E-2</v>
      </c>
      <c r="G26" s="9">
        <v>3.4000000000000002E-2</v>
      </c>
      <c r="H26" s="9">
        <v>2.4E-2</v>
      </c>
      <c r="I26" s="9">
        <v>1</v>
      </c>
      <c r="J26" s="11">
        <f t="shared" si="3"/>
        <v>7.2249999999999936E-3</v>
      </c>
      <c r="K26" s="11">
        <f t="shared" si="3"/>
        <v>1.1881000000000003E-2</v>
      </c>
      <c r="L26" s="11">
        <f t="shared" si="3"/>
        <v>6.4000000000000119E-5</v>
      </c>
      <c r="M26" s="9">
        <f t="shared" si="3"/>
        <v>7.8399999999999987E-4</v>
      </c>
      <c r="N26" s="11">
        <f t="shared" si="3"/>
        <v>2.8900000000000003E-4</v>
      </c>
      <c r="O26" s="11">
        <f t="shared" si="3"/>
        <v>2.8899999999999992E-4</v>
      </c>
      <c r="P26" s="11">
        <f t="shared" si="3"/>
        <v>3.2400000000000007E-4</v>
      </c>
      <c r="Q26" s="11">
        <f t="shared" si="3"/>
        <v>2.2500000000000005E-4</v>
      </c>
      <c r="R26" s="11">
        <f t="shared" si="1"/>
        <v>2.1081000000000003E-2</v>
      </c>
      <c r="S26" s="11">
        <f t="shared" si="2"/>
        <v>0.14519297503667319</v>
      </c>
      <c r="T26" s="9">
        <v>3</v>
      </c>
      <c r="U26" s="9" t="s">
        <v>59</v>
      </c>
      <c r="V26" s="9">
        <v>17</v>
      </c>
      <c r="W26" s="9">
        <v>18</v>
      </c>
      <c r="X26" s="9">
        <v>35</v>
      </c>
    </row>
    <row r="27" spans="1:24" x14ac:dyDescent="0.25">
      <c r="A27" s="9">
        <v>0.38800000000000001</v>
      </c>
      <c r="B27" s="9">
        <v>0.22</v>
      </c>
      <c r="C27" s="9">
        <v>0.128</v>
      </c>
      <c r="D27" s="9">
        <v>6.5000000000000002E-2</v>
      </c>
      <c r="E27" s="9">
        <v>0.05</v>
      </c>
      <c r="F27" s="9">
        <v>3.1E-2</v>
      </c>
      <c r="G27" s="9">
        <v>2.1999999999999999E-2</v>
      </c>
      <c r="H27" s="9">
        <v>1.6E-2</v>
      </c>
      <c r="I27" s="9">
        <v>1</v>
      </c>
      <c r="J27" s="11">
        <f t="shared" si="3"/>
        <v>7.8399999999999824E-4</v>
      </c>
      <c r="K27" s="11">
        <f t="shared" si="3"/>
        <v>1.9360000000000011E-3</v>
      </c>
      <c r="L27" s="11">
        <f t="shared" si="3"/>
        <v>4.8400000000000027E-4</v>
      </c>
      <c r="M27" s="9">
        <f t="shared" si="3"/>
        <v>1.0000000000000019E-6</v>
      </c>
      <c r="N27" s="11">
        <f t="shared" si="3"/>
        <v>3.6000000000000062E-5</v>
      </c>
      <c r="O27" s="11">
        <f t="shared" si="3"/>
        <v>8.9999999999999951E-6</v>
      </c>
      <c r="P27" s="11">
        <f t="shared" si="3"/>
        <v>3.5999999999999981E-5</v>
      </c>
      <c r="Q27" s="11">
        <f t="shared" si="3"/>
        <v>4.9000000000000012E-5</v>
      </c>
      <c r="R27" s="11">
        <f t="shared" si="1"/>
        <v>3.3349999999999994E-3</v>
      </c>
      <c r="S27" s="11">
        <f t="shared" si="2"/>
        <v>5.7749458871923634E-2</v>
      </c>
      <c r="T27" s="9">
        <v>4</v>
      </c>
      <c r="U27" s="9" t="s">
        <v>59</v>
      </c>
      <c r="V27" s="9">
        <v>17</v>
      </c>
      <c r="W27" s="9">
        <v>18</v>
      </c>
      <c r="X27" s="9">
        <v>35</v>
      </c>
    </row>
    <row r="28" spans="1:24" x14ac:dyDescent="0.25">
      <c r="A28" s="9">
        <v>0.33100000000000002</v>
      </c>
      <c r="B28" s="9">
        <v>0.16</v>
      </c>
      <c r="C28" s="9">
        <v>0.126</v>
      </c>
      <c r="D28" s="9">
        <v>0.109</v>
      </c>
      <c r="E28" s="9">
        <v>5.1999999999999998E-2</v>
      </c>
      <c r="F28" s="9">
        <v>4.3999999999999997E-2</v>
      </c>
      <c r="G28" s="9">
        <v>3.3000000000000002E-2</v>
      </c>
      <c r="H28" s="9">
        <v>2.4E-2</v>
      </c>
      <c r="I28" s="9">
        <v>1</v>
      </c>
      <c r="J28" s="11">
        <f t="shared" si="3"/>
        <v>7.2249999999999936E-3</v>
      </c>
      <c r="K28" s="11">
        <f t="shared" si="3"/>
        <v>1.0816000000000003E-2</v>
      </c>
      <c r="L28" s="11">
        <f t="shared" si="3"/>
        <v>4.0000000000000018E-4</v>
      </c>
      <c r="M28" s="9">
        <f t="shared" si="3"/>
        <v>1.8489999999999997E-3</v>
      </c>
      <c r="N28" s="11">
        <f t="shared" si="3"/>
        <v>6.3999999999999997E-5</v>
      </c>
      <c r="O28" s="11">
        <f t="shared" si="3"/>
        <v>2.5599999999999988E-4</v>
      </c>
      <c r="P28" s="11">
        <f t="shared" si="3"/>
        <v>2.8900000000000003E-4</v>
      </c>
      <c r="Q28" s="11">
        <f t="shared" si="3"/>
        <v>2.2500000000000005E-4</v>
      </c>
      <c r="R28" s="11">
        <f t="shared" si="1"/>
        <v>2.1123999999999997E-2</v>
      </c>
      <c r="S28" s="11">
        <f t="shared" si="2"/>
        <v>0.14534097839219329</v>
      </c>
      <c r="T28" s="9">
        <v>5</v>
      </c>
      <c r="U28" s="9" t="s">
        <v>59</v>
      </c>
      <c r="V28" s="9">
        <v>17</v>
      </c>
      <c r="W28" s="9">
        <v>18</v>
      </c>
      <c r="X28" s="9">
        <v>35</v>
      </c>
    </row>
    <row r="29" spans="1:24" x14ac:dyDescent="0.25">
      <c r="A29" s="9">
        <v>0.35299999999999998</v>
      </c>
      <c r="B29" s="9">
        <v>0.32100000000000001</v>
      </c>
      <c r="C29" s="9">
        <v>0.13200000000000001</v>
      </c>
      <c r="D29" s="9">
        <v>6.3E-2</v>
      </c>
      <c r="E29" s="9">
        <v>3.6999999999999998E-2</v>
      </c>
      <c r="F29" s="9">
        <v>1.7000000000000001E-2</v>
      </c>
      <c r="G29" s="9">
        <v>1.4999999999999999E-2</v>
      </c>
      <c r="H29" s="9">
        <v>1.0999999999999999E-2</v>
      </c>
      <c r="I29" s="9">
        <v>1</v>
      </c>
      <c r="J29" s="11">
        <f t="shared" si="3"/>
        <v>3.9690000000000003E-3</v>
      </c>
      <c r="K29" s="11">
        <f t="shared" si="3"/>
        <v>3.2489999999999993E-3</v>
      </c>
      <c r="L29" s="11">
        <f t="shared" si="3"/>
        <v>6.7600000000000049E-4</v>
      </c>
      <c r="M29" s="9">
        <f t="shared" si="3"/>
        <v>9.0000000000000155E-6</v>
      </c>
      <c r="N29" s="11">
        <f t="shared" si="3"/>
        <v>4.8999999999999992E-5</v>
      </c>
      <c r="O29" s="11">
        <f t="shared" si="3"/>
        <v>1.2099999999999999E-4</v>
      </c>
      <c r="P29" s="11">
        <f t="shared" si="3"/>
        <v>1.0000000000000019E-6</v>
      </c>
      <c r="Q29" s="11">
        <f t="shared" si="3"/>
        <v>3.9999999999999998E-6</v>
      </c>
      <c r="R29" s="11">
        <f t="shared" si="1"/>
        <v>8.0780000000000001E-3</v>
      </c>
      <c r="S29" s="11">
        <f t="shared" si="2"/>
        <v>8.9877694674485281E-2</v>
      </c>
      <c r="T29" s="9">
        <v>6</v>
      </c>
      <c r="U29" s="9" t="s">
        <v>59</v>
      </c>
      <c r="V29" s="9">
        <v>17</v>
      </c>
      <c r="W29" s="9">
        <v>18</v>
      </c>
      <c r="X29" s="9">
        <v>35</v>
      </c>
    </row>
    <row r="30" spans="1:24" x14ac:dyDescent="0.25">
      <c r="A30" s="9">
        <v>0.5</v>
      </c>
      <c r="B30" s="9">
        <v>0.222</v>
      </c>
      <c r="C30" s="9">
        <v>7.5999999999999998E-2</v>
      </c>
      <c r="D30" s="9">
        <v>5.6000000000000001E-2</v>
      </c>
      <c r="E30" s="9">
        <v>3.6999999999999998E-2</v>
      </c>
      <c r="F30" s="9">
        <v>2.1000000000000001E-2</v>
      </c>
      <c r="G30" s="9">
        <v>1.2999999999999999E-2</v>
      </c>
      <c r="H30" s="9">
        <v>1.2E-2</v>
      </c>
      <c r="I30" s="9">
        <v>1</v>
      </c>
      <c r="J30" s="11">
        <f t="shared" si="3"/>
        <v>7.0560000000000032E-3</v>
      </c>
      <c r="K30" s="11">
        <f t="shared" si="3"/>
        <v>1.7640000000000008E-3</v>
      </c>
      <c r="L30" s="11">
        <f t="shared" si="3"/>
        <v>8.9999999999999998E-4</v>
      </c>
      <c r="M30" s="9">
        <f t="shared" si="3"/>
        <v>1.0000000000000005E-4</v>
      </c>
      <c r="N30" s="11">
        <f t="shared" si="3"/>
        <v>4.8999999999999992E-5</v>
      </c>
      <c r="O30" s="11">
        <f t="shared" si="3"/>
        <v>4.8999999999999992E-5</v>
      </c>
      <c r="P30" s="11">
        <f t="shared" si="3"/>
        <v>9.0000000000000053E-6</v>
      </c>
      <c r="Q30" s="11">
        <f t="shared" si="3"/>
        <v>9.0000000000000053E-6</v>
      </c>
      <c r="R30" s="11">
        <f t="shared" si="1"/>
        <v>9.9360000000000056E-3</v>
      </c>
      <c r="S30" s="11">
        <f t="shared" si="2"/>
        <v>9.967948635501693E-2</v>
      </c>
      <c r="T30" s="9">
        <v>7</v>
      </c>
      <c r="U30" s="9" t="s">
        <v>59</v>
      </c>
      <c r="V30" s="9">
        <v>17</v>
      </c>
      <c r="W30" s="9">
        <v>18</v>
      </c>
      <c r="X30" s="9">
        <v>35</v>
      </c>
    </row>
    <row r="31" spans="1:24" x14ac:dyDescent="0.25">
      <c r="A31" s="9">
        <v>0.47699999999999998</v>
      </c>
      <c r="B31" s="9">
        <v>0.14299999999999999</v>
      </c>
      <c r="C31" s="9">
        <v>0.12</v>
      </c>
      <c r="D31" s="9">
        <v>6.9000000000000006E-2</v>
      </c>
      <c r="E31" s="9">
        <v>3.6999999999999998E-2</v>
      </c>
      <c r="F31" s="9">
        <v>2.9000000000000001E-2</v>
      </c>
      <c r="G31" s="9">
        <v>1.7000000000000001E-2</v>
      </c>
      <c r="H31" s="9">
        <v>1.6E-2</v>
      </c>
      <c r="I31" s="9">
        <v>1</v>
      </c>
      <c r="J31" s="11">
        <f t="shared" si="3"/>
        <v>3.7209999999999999E-3</v>
      </c>
      <c r="K31" s="11">
        <f t="shared" si="3"/>
        <v>1.4641000000000006E-2</v>
      </c>
      <c r="L31" s="11">
        <f t="shared" si="3"/>
        <v>1.9599999999999997E-4</v>
      </c>
      <c r="M31" s="9">
        <f t="shared" si="3"/>
        <v>9.0000000000000155E-6</v>
      </c>
      <c r="N31" s="11">
        <f t="shared" si="3"/>
        <v>4.8999999999999992E-5</v>
      </c>
      <c r="O31" s="11">
        <f t="shared" si="3"/>
        <v>1.0000000000000019E-6</v>
      </c>
      <c r="P31" s="11">
        <f t="shared" si="3"/>
        <v>1.0000000000000019E-6</v>
      </c>
      <c r="Q31" s="11">
        <f t="shared" si="3"/>
        <v>4.9000000000000012E-5</v>
      </c>
      <c r="R31" s="11">
        <f t="shared" si="1"/>
        <v>1.8667000000000007E-2</v>
      </c>
      <c r="S31" s="11">
        <f t="shared" si="2"/>
        <v>0.13662723008244004</v>
      </c>
      <c r="T31" s="9">
        <v>8</v>
      </c>
      <c r="U31" s="9" t="s">
        <v>59</v>
      </c>
      <c r="V31" s="9">
        <v>17</v>
      </c>
      <c r="W31" s="9">
        <v>18</v>
      </c>
      <c r="X31" s="9">
        <v>35</v>
      </c>
    </row>
    <row r="32" spans="1:24" x14ac:dyDescent="0.25">
      <c r="A32" s="9">
        <v>0.505</v>
      </c>
      <c r="B32" s="9">
        <v>0.19400000000000001</v>
      </c>
      <c r="C32" s="9">
        <v>0.105</v>
      </c>
      <c r="D32" s="9">
        <v>8.3000000000000004E-2</v>
      </c>
      <c r="E32" s="9">
        <v>0.04</v>
      </c>
      <c r="F32" s="9">
        <v>2.1999999999999999E-2</v>
      </c>
      <c r="G32" s="9">
        <v>1.4E-2</v>
      </c>
      <c r="H32" s="9">
        <v>8.0000000000000002E-3</v>
      </c>
      <c r="I32" s="9">
        <v>1</v>
      </c>
      <c r="J32" s="11">
        <f t="shared" si="3"/>
        <v>7.9210000000000044E-3</v>
      </c>
      <c r="K32" s="11">
        <f t="shared" si="3"/>
        <v>4.9000000000000007E-3</v>
      </c>
      <c r="L32" s="11">
        <f t="shared" si="3"/>
        <v>1.0000000000000019E-6</v>
      </c>
      <c r="M32" s="9">
        <f t="shared" si="3"/>
        <v>2.8900000000000003E-4</v>
      </c>
      <c r="N32" s="11">
        <f t="shared" si="3"/>
        <v>1.5999999999999972E-5</v>
      </c>
      <c r="O32" s="11">
        <f t="shared" si="3"/>
        <v>3.6000000000000021E-5</v>
      </c>
      <c r="P32" s="11">
        <f t="shared" si="3"/>
        <v>3.9999999999999998E-6</v>
      </c>
      <c r="Q32" s="11">
        <f t="shared" si="3"/>
        <v>9.9999999999999826E-7</v>
      </c>
      <c r="R32" s="11">
        <f t="shared" si="1"/>
        <v>1.3168000000000004E-2</v>
      </c>
      <c r="S32" s="11">
        <f t="shared" si="2"/>
        <v>0.11475190630224844</v>
      </c>
      <c r="T32" s="9">
        <v>10</v>
      </c>
      <c r="U32" s="9" t="s">
        <v>59</v>
      </c>
      <c r="V32" s="9">
        <v>17</v>
      </c>
      <c r="W32" s="9">
        <v>18</v>
      </c>
      <c r="X32" s="9">
        <v>35</v>
      </c>
    </row>
    <row r="33" spans="1:24" x14ac:dyDescent="0.25">
      <c r="A33" s="9">
        <v>0.31</v>
      </c>
      <c r="B33" s="9">
        <v>0.21199999999999999</v>
      </c>
      <c r="C33" s="9">
        <v>0.152</v>
      </c>
      <c r="D33" s="9">
        <v>9.4E-2</v>
      </c>
      <c r="E33" s="9">
        <v>4.9000000000000002E-2</v>
      </c>
      <c r="F33" s="9">
        <v>3.5999999999999997E-2</v>
      </c>
      <c r="G33" s="9">
        <v>1.9E-2</v>
      </c>
      <c r="H33" s="9">
        <v>1.7999999999999999E-2</v>
      </c>
      <c r="I33" s="9">
        <v>1</v>
      </c>
      <c r="J33" s="11">
        <f t="shared" si="3"/>
        <v>1.1235999999999996E-2</v>
      </c>
      <c r="K33" s="11">
        <f t="shared" si="3"/>
        <v>2.704000000000002E-3</v>
      </c>
      <c r="L33" s="11">
        <f t="shared" si="3"/>
        <v>2.1159999999999998E-3</v>
      </c>
      <c r="M33" s="9">
        <f t="shared" si="3"/>
        <v>7.8399999999999987E-4</v>
      </c>
      <c r="N33" s="11">
        <f t="shared" si="3"/>
        <v>2.5000000000000045E-5</v>
      </c>
      <c r="O33" s="11">
        <f t="shared" si="3"/>
        <v>6.3999999999999943E-5</v>
      </c>
      <c r="P33" s="11">
        <f t="shared" si="3"/>
        <v>8.9999999999999951E-6</v>
      </c>
      <c r="Q33" s="11">
        <f t="shared" si="3"/>
        <v>8.099999999999999E-5</v>
      </c>
      <c r="R33" s="11">
        <f t="shared" si="1"/>
        <v>1.7018999999999999E-2</v>
      </c>
      <c r="S33" s="11">
        <f t="shared" si="2"/>
        <v>0.1304568894309534</v>
      </c>
      <c r="T33" s="9">
        <v>18</v>
      </c>
      <c r="U33" s="9" t="s">
        <v>59</v>
      </c>
      <c r="V33" s="9">
        <v>17</v>
      </c>
      <c r="W33" s="9">
        <v>18</v>
      </c>
      <c r="X33" s="9">
        <v>35</v>
      </c>
    </row>
    <row r="34" spans="1:24" x14ac:dyDescent="0.25">
      <c r="A34" s="9">
        <v>0.41599999999999998</v>
      </c>
      <c r="B34" s="9">
        <v>0.25600000000000001</v>
      </c>
      <c r="C34" s="9">
        <v>0.11</v>
      </c>
      <c r="D34" s="9">
        <v>5.8000000000000003E-2</v>
      </c>
      <c r="E34" s="9">
        <v>3.4000000000000002E-2</v>
      </c>
      <c r="F34" s="9">
        <v>0.02</v>
      </c>
      <c r="G34" s="9">
        <v>1.6E-2</v>
      </c>
      <c r="H34" s="9">
        <v>1.4E-2</v>
      </c>
      <c r="I34" s="9">
        <v>1</v>
      </c>
      <c r="J34" s="11">
        <f t="shared" si="3"/>
        <v>0</v>
      </c>
      <c r="K34" s="11">
        <f t="shared" si="3"/>
        <v>6.4000000000000119E-5</v>
      </c>
      <c r="L34" s="11">
        <f t="shared" si="3"/>
        <v>1.600000000000003E-5</v>
      </c>
      <c r="M34" s="9">
        <f t="shared" si="3"/>
        <v>6.3999999999999997E-5</v>
      </c>
      <c r="N34" s="11">
        <f t="shared" si="3"/>
        <v>9.9999999999999896E-5</v>
      </c>
      <c r="O34" s="11">
        <f t="shared" si="3"/>
        <v>6.3999999999999997E-5</v>
      </c>
      <c r="P34" s="11">
        <f t="shared" si="3"/>
        <v>0</v>
      </c>
      <c r="Q34" s="11">
        <f t="shared" si="3"/>
        <v>2.5000000000000011E-5</v>
      </c>
      <c r="R34" s="11">
        <f t="shared" si="1"/>
        <v>3.3300000000000002E-4</v>
      </c>
      <c r="S34" s="11">
        <f t="shared" si="2"/>
        <v>1.8248287590894658E-2</v>
      </c>
      <c r="T34" s="9">
        <v>11</v>
      </c>
      <c r="U34" s="9" t="s">
        <v>59</v>
      </c>
      <c r="V34" s="9">
        <v>17</v>
      </c>
      <c r="W34" s="9">
        <v>18</v>
      </c>
      <c r="X34" s="9">
        <v>35</v>
      </c>
    </row>
    <row r="35" spans="1:24" x14ac:dyDescent="0.25">
      <c r="A35" s="9">
        <v>0.38200000000000001</v>
      </c>
      <c r="B35" s="9">
        <v>0.17899999999999999</v>
      </c>
      <c r="C35" s="9">
        <v>0.13700000000000001</v>
      </c>
      <c r="D35" s="9">
        <v>7.0000000000000007E-2</v>
      </c>
      <c r="E35" s="9">
        <v>4.7E-2</v>
      </c>
      <c r="F35" s="9">
        <v>0.03</v>
      </c>
      <c r="G35" s="9">
        <v>2.5000000000000001E-2</v>
      </c>
      <c r="H35" s="9">
        <v>2.5000000000000001E-2</v>
      </c>
      <c r="I35" s="9">
        <v>1</v>
      </c>
      <c r="J35" s="11">
        <f t="shared" si="3"/>
        <v>1.1559999999999982E-3</v>
      </c>
      <c r="K35" s="11">
        <f t="shared" si="3"/>
        <v>7.2250000000000031E-3</v>
      </c>
      <c r="L35" s="11">
        <f t="shared" si="3"/>
        <v>9.6100000000000081E-4</v>
      </c>
      <c r="M35" s="9">
        <f t="shared" si="3"/>
        <v>1.600000000000003E-5</v>
      </c>
      <c r="N35" s="11">
        <f t="shared" si="3"/>
        <v>9.0000000000000155E-6</v>
      </c>
      <c r="O35" s="11">
        <f t="shared" si="3"/>
        <v>3.999999999999993E-6</v>
      </c>
      <c r="P35" s="11">
        <f t="shared" si="3"/>
        <v>8.1000000000000017E-5</v>
      </c>
      <c r="Q35" s="11">
        <f t="shared" si="3"/>
        <v>2.5599999999999999E-4</v>
      </c>
      <c r="R35" s="11">
        <f t="shared" si="1"/>
        <v>9.7080000000000014E-3</v>
      </c>
      <c r="S35" s="11">
        <f t="shared" si="2"/>
        <v>9.8529183494028824E-2</v>
      </c>
      <c r="T35" s="9">
        <v>12</v>
      </c>
      <c r="U35" s="9" t="s">
        <v>59</v>
      </c>
      <c r="V35" s="9">
        <v>17</v>
      </c>
      <c r="W35" s="9">
        <v>18</v>
      </c>
      <c r="X35" s="9">
        <v>35</v>
      </c>
    </row>
    <row r="36" spans="1:24" x14ac:dyDescent="0.25">
      <c r="A36" s="9">
        <v>0.52</v>
      </c>
      <c r="B36" s="9">
        <v>0.193</v>
      </c>
      <c r="C36" s="9">
        <v>0.08</v>
      </c>
      <c r="D36" s="9">
        <v>5.6000000000000001E-2</v>
      </c>
      <c r="E36" s="9">
        <v>4.2000000000000003E-2</v>
      </c>
      <c r="F36" s="9">
        <v>2.4E-2</v>
      </c>
      <c r="G36" s="9">
        <v>1.9E-2</v>
      </c>
      <c r="H36" s="9">
        <v>1.2999999999999999E-2</v>
      </c>
      <c r="I36" s="9">
        <v>1</v>
      </c>
      <c r="J36" s="11">
        <f t="shared" si="3"/>
        <v>1.0816000000000008E-2</v>
      </c>
      <c r="K36" s="11">
        <f t="shared" si="3"/>
        <v>5.0410000000000012E-3</v>
      </c>
      <c r="L36" s="11">
        <f t="shared" si="3"/>
        <v>6.7599999999999973E-4</v>
      </c>
      <c r="M36" s="9">
        <f t="shared" si="3"/>
        <v>1.0000000000000005E-4</v>
      </c>
      <c r="N36" s="11">
        <f t="shared" si="3"/>
        <v>3.9999999999999795E-6</v>
      </c>
      <c r="O36" s="11">
        <f t="shared" si="3"/>
        <v>1.5999999999999999E-5</v>
      </c>
      <c r="P36" s="11">
        <f t="shared" si="3"/>
        <v>8.9999999999999951E-6</v>
      </c>
      <c r="Q36" s="11">
        <f t="shared" si="3"/>
        <v>1.5999999999999999E-5</v>
      </c>
      <c r="R36" s="11">
        <f t="shared" si="1"/>
        <v>1.6678000000000005E-2</v>
      </c>
      <c r="S36" s="11">
        <f t="shared" si="2"/>
        <v>0.12914333122542568</v>
      </c>
      <c r="T36" s="9">
        <v>13</v>
      </c>
      <c r="U36" s="9" t="s">
        <v>59</v>
      </c>
      <c r="V36" s="9">
        <v>17</v>
      </c>
      <c r="W36" s="9">
        <v>18</v>
      </c>
      <c r="X36" s="9">
        <v>35</v>
      </c>
    </row>
    <row r="37" spans="1:24" x14ac:dyDescent="0.25">
      <c r="A37" s="9">
        <v>0.379</v>
      </c>
      <c r="B37" s="9">
        <v>0.29399999999999998</v>
      </c>
      <c r="C37" s="9">
        <v>0.10100000000000001</v>
      </c>
      <c r="D37" s="9">
        <v>6.0999999999999999E-2</v>
      </c>
      <c r="E37" s="9">
        <v>3.2000000000000001E-2</v>
      </c>
      <c r="F37" s="9">
        <v>2.7E-2</v>
      </c>
      <c r="G37" s="9">
        <v>1.9E-2</v>
      </c>
      <c r="H37" s="9">
        <v>1.2E-2</v>
      </c>
      <c r="I37" s="9">
        <v>1</v>
      </c>
      <c r="J37" s="11">
        <f t="shared" si="3"/>
        <v>1.3689999999999983E-3</v>
      </c>
      <c r="K37" s="11">
        <f t="shared" si="3"/>
        <v>8.9999999999999824E-4</v>
      </c>
      <c r="L37" s="11">
        <f t="shared" si="3"/>
        <v>2.4999999999999906E-5</v>
      </c>
      <c r="M37" s="9">
        <f t="shared" si="3"/>
        <v>2.5000000000000045E-5</v>
      </c>
      <c r="N37" s="11">
        <f t="shared" si="3"/>
        <v>1.4399999999999992E-4</v>
      </c>
      <c r="O37" s="11">
        <f t="shared" si="3"/>
        <v>1.0000000000000019E-6</v>
      </c>
      <c r="P37" s="11">
        <f t="shared" si="3"/>
        <v>8.9999999999999951E-6</v>
      </c>
      <c r="Q37" s="11">
        <f t="shared" si="3"/>
        <v>9.0000000000000053E-6</v>
      </c>
      <c r="R37" s="11">
        <f t="shared" si="1"/>
        <v>2.4819999999999964E-3</v>
      </c>
      <c r="S37" s="11">
        <f t="shared" si="2"/>
        <v>4.9819674828324563E-2</v>
      </c>
      <c r="T37" s="9">
        <v>14</v>
      </c>
      <c r="U37" s="9" t="s">
        <v>59</v>
      </c>
      <c r="V37" s="9">
        <v>17</v>
      </c>
      <c r="W37" s="9">
        <v>18</v>
      </c>
      <c r="X37" s="9">
        <v>35</v>
      </c>
    </row>
    <row r="38" spans="1:24" x14ac:dyDescent="0.25">
      <c r="A38" s="9">
        <v>0.498</v>
      </c>
      <c r="B38" s="9">
        <v>0.18099999999999999</v>
      </c>
      <c r="C38" s="9">
        <v>7.2999999999999995E-2</v>
      </c>
      <c r="D38" s="9">
        <v>0.05</v>
      </c>
      <c r="E38" s="9">
        <v>3.6999999999999998E-2</v>
      </c>
      <c r="F38" s="9">
        <v>0.03</v>
      </c>
      <c r="G38" s="9">
        <v>2.8000000000000001E-2</v>
      </c>
      <c r="H38" s="9">
        <v>1.6E-2</v>
      </c>
      <c r="I38" s="9">
        <v>1</v>
      </c>
      <c r="J38" s="11">
        <f t="shared" si="3"/>
        <v>6.7240000000000025E-3</v>
      </c>
      <c r="K38" s="11">
        <f t="shared" si="3"/>
        <v>6.8890000000000028E-3</v>
      </c>
      <c r="L38" s="11">
        <f t="shared" si="3"/>
        <v>1.0890000000000001E-3</v>
      </c>
      <c r="M38" s="9">
        <f t="shared" si="3"/>
        <v>2.5599999999999999E-4</v>
      </c>
      <c r="N38" s="11">
        <f t="shared" si="3"/>
        <v>4.8999999999999992E-5</v>
      </c>
      <c r="O38" s="11">
        <f t="shared" si="3"/>
        <v>3.999999999999993E-6</v>
      </c>
      <c r="P38" s="11">
        <f t="shared" si="3"/>
        <v>1.44E-4</v>
      </c>
      <c r="Q38" s="11">
        <f t="shared" si="3"/>
        <v>4.9000000000000012E-5</v>
      </c>
      <c r="R38" s="11">
        <f t="shared" si="1"/>
        <v>1.5204000000000006E-2</v>
      </c>
      <c r="S38" s="11">
        <f t="shared" si="2"/>
        <v>0.12330450113438685</v>
      </c>
      <c r="T38" s="9">
        <v>15</v>
      </c>
      <c r="U38" s="9" t="s">
        <v>59</v>
      </c>
      <c r="V38" s="9">
        <v>17</v>
      </c>
      <c r="W38" s="9">
        <v>18</v>
      </c>
      <c r="X38" s="9">
        <v>35</v>
      </c>
    </row>
    <row r="39" spans="1:24" x14ac:dyDescent="0.25">
      <c r="A39" s="9">
        <v>0.39900000000000002</v>
      </c>
      <c r="B39" s="9">
        <v>0.27500000000000002</v>
      </c>
      <c r="C39" s="9">
        <v>0.11700000000000001</v>
      </c>
      <c r="D39" s="9">
        <v>7.4999999999999997E-2</v>
      </c>
      <c r="E39" s="9">
        <v>5.2999999999999999E-2</v>
      </c>
      <c r="F39" s="9">
        <v>1.4E-2</v>
      </c>
      <c r="G39" s="9">
        <v>1.2999999999999999E-2</v>
      </c>
      <c r="H39" s="9">
        <v>0.01</v>
      </c>
      <c r="I39" s="9">
        <v>1</v>
      </c>
      <c r="J39" s="11">
        <f t="shared" si="3"/>
        <v>2.8899999999999862E-4</v>
      </c>
      <c r="K39" s="11">
        <f t="shared" si="3"/>
        <v>1.2100000000000022E-4</v>
      </c>
      <c r="L39" s="11">
        <f t="shared" si="3"/>
        <v>1.2100000000000022E-4</v>
      </c>
      <c r="M39" s="9">
        <f t="shared" si="3"/>
        <v>8.0999999999999895E-5</v>
      </c>
      <c r="N39" s="11">
        <f t="shared" si="3"/>
        <v>8.1000000000000017E-5</v>
      </c>
      <c r="O39" s="11">
        <f t="shared" si="3"/>
        <v>1.9600000000000002E-4</v>
      </c>
      <c r="P39" s="11">
        <f t="shared" si="3"/>
        <v>9.0000000000000053E-6</v>
      </c>
      <c r="Q39" s="11">
        <f t="shared" si="3"/>
        <v>1.0000000000000019E-6</v>
      </c>
      <c r="R39" s="11">
        <f t="shared" si="1"/>
        <v>8.9899999999999898E-4</v>
      </c>
      <c r="S39" s="11">
        <f t="shared" si="2"/>
        <v>2.9983328701129883E-2</v>
      </c>
      <c r="T39" s="9">
        <v>16</v>
      </c>
      <c r="U39" s="9" t="s">
        <v>59</v>
      </c>
      <c r="V39" s="9">
        <v>17</v>
      </c>
      <c r="W39" s="9">
        <v>18</v>
      </c>
      <c r="X39" s="9">
        <v>35</v>
      </c>
    </row>
    <row r="40" spans="1:24" x14ac:dyDescent="0.25">
      <c r="A40" s="9">
        <v>0.48599999999999999</v>
      </c>
      <c r="B40" s="9">
        <v>0.217</v>
      </c>
      <c r="C40" s="9">
        <v>0.14199999999999999</v>
      </c>
      <c r="D40" s="9">
        <v>4.2000000000000003E-2</v>
      </c>
      <c r="E40" s="9">
        <v>2.9000000000000001E-2</v>
      </c>
      <c r="F40" s="9">
        <v>1.7999999999999999E-2</v>
      </c>
      <c r="G40" s="9">
        <v>1.4E-2</v>
      </c>
      <c r="H40" s="9">
        <v>1.0999999999999999E-2</v>
      </c>
      <c r="I40" s="9">
        <v>1</v>
      </c>
      <c r="J40" s="11">
        <f t="shared" si="3"/>
        <v>4.9000000000000007E-3</v>
      </c>
      <c r="K40" s="11">
        <f t="shared" si="3"/>
        <v>2.2090000000000013E-3</v>
      </c>
      <c r="L40" s="11">
        <f t="shared" si="3"/>
        <v>1.2959999999999994E-3</v>
      </c>
      <c r="M40" s="9">
        <f t="shared" si="3"/>
        <v>5.7600000000000001E-4</v>
      </c>
      <c r="N40" s="11">
        <f t="shared" si="3"/>
        <v>2.2499999999999989E-4</v>
      </c>
      <c r="O40" s="11">
        <f t="shared" si="3"/>
        <v>1.0000000000000005E-4</v>
      </c>
      <c r="P40" s="11">
        <f t="shared" si="3"/>
        <v>3.9999999999999998E-6</v>
      </c>
      <c r="Q40" s="11">
        <f t="shared" si="3"/>
        <v>3.9999999999999998E-6</v>
      </c>
      <c r="R40" s="11">
        <f t="shared" si="1"/>
        <v>9.3140000000000028E-3</v>
      </c>
      <c r="S40" s="11">
        <f t="shared" si="2"/>
        <v>9.6509066931558321E-2</v>
      </c>
      <c r="T40" s="9">
        <v>17</v>
      </c>
      <c r="U40" s="9" t="s">
        <v>59</v>
      </c>
      <c r="V40" s="9">
        <v>17</v>
      </c>
      <c r="W40" s="9">
        <v>18</v>
      </c>
      <c r="X40" s="9">
        <v>35</v>
      </c>
    </row>
    <row r="41" spans="1:24" x14ac:dyDescent="0.25">
      <c r="A41" s="2">
        <v>0.36599999999999999</v>
      </c>
      <c r="B41" s="2">
        <v>0.253</v>
      </c>
      <c r="C41" s="2">
        <v>0.114</v>
      </c>
      <c r="D41" s="2">
        <v>9.0999999999999998E-2</v>
      </c>
      <c r="E41" s="2">
        <v>6.2E-2</v>
      </c>
      <c r="F41" s="2">
        <v>2.5000000000000001E-2</v>
      </c>
      <c r="G41" s="2">
        <v>2.1000000000000001E-2</v>
      </c>
      <c r="H41" s="2">
        <v>1.4E-2</v>
      </c>
      <c r="I41" s="2">
        <v>1</v>
      </c>
      <c r="J41" s="7">
        <f t="shared" si="3"/>
        <v>2.4999999999999988E-3</v>
      </c>
      <c r="K41" s="7">
        <f t="shared" si="3"/>
        <v>1.2100000000000022E-4</v>
      </c>
      <c r="L41" s="7">
        <f t="shared" si="3"/>
        <v>6.4000000000000119E-5</v>
      </c>
      <c r="M41" s="2">
        <f t="shared" si="3"/>
        <v>6.2499999999999969E-4</v>
      </c>
      <c r="N41" s="7">
        <f t="shared" si="3"/>
        <v>3.2400000000000007E-4</v>
      </c>
      <c r="O41" s="7">
        <f t="shared" si="3"/>
        <v>8.9999999999999951E-6</v>
      </c>
      <c r="P41" s="7">
        <f t="shared" si="3"/>
        <v>2.5000000000000011E-5</v>
      </c>
      <c r="Q41" s="7">
        <f t="shared" si="3"/>
        <v>2.5000000000000011E-5</v>
      </c>
      <c r="R41" s="7">
        <f t="shared" si="1"/>
        <v>3.6929999999999984E-3</v>
      </c>
      <c r="S41" s="7">
        <f t="shared" si="2"/>
        <v>6.0770058416953973E-2</v>
      </c>
      <c r="T41" s="2">
        <v>39</v>
      </c>
      <c r="U41" s="2" t="s">
        <v>60</v>
      </c>
      <c r="V41" s="2">
        <v>17</v>
      </c>
      <c r="W41" s="2">
        <v>18</v>
      </c>
      <c r="X41" s="2">
        <v>35</v>
      </c>
    </row>
    <row r="42" spans="1:24" x14ac:dyDescent="0.25">
      <c r="A42" s="2">
        <v>0.35</v>
      </c>
      <c r="B42" s="2">
        <v>0.19500000000000001</v>
      </c>
      <c r="C42" s="2">
        <v>0.13600000000000001</v>
      </c>
      <c r="D42" s="2">
        <v>8.8999999999999996E-2</v>
      </c>
      <c r="E42" s="2">
        <v>4.4999999999999998E-2</v>
      </c>
      <c r="F42" s="2">
        <v>3.2000000000000001E-2</v>
      </c>
      <c r="G42" s="2">
        <v>2.5000000000000001E-2</v>
      </c>
      <c r="H42" s="2">
        <v>2.3E-2</v>
      </c>
      <c r="I42" s="2">
        <v>1</v>
      </c>
      <c r="J42" s="7">
        <f t="shared" si="3"/>
        <v>4.3560000000000005E-3</v>
      </c>
      <c r="K42" s="7">
        <f t="shared" si="3"/>
        <v>4.7610000000000005E-3</v>
      </c>
      <c r="L42" s="7">
        <f t="shared" si="3"/>
        <v>9.0000000000000073E-4</v>
      </c>
      <c r="M42" s="2">
        <f t="shared" si="3"/>
        <v>5.2899999999999963E-4</v>
      </c>
      <c r="N42" s="7">
        <f t="shared" si="3"/>
        <v>1.0000000000000019E-6</v>
      </c>
      <c r="O42" s="7">
        <f t="shared" si="3"/>
        <v>1.5999999999999999E-5</v>
      </c>
      <c r="P42" s="7">
        <f t="shared" si="3"/>
        <v>8.1000000000000017E-5</v>
      </c>
      <c r="Q42" s="7">
        <f t="shared" si="3"/>
        <v>1.9600000000000002E-4</v>
      </c>
      <c r="R42" s="7">
        <f t="shared" si="1"/>
        <v>1.0840000000000001E-2</v>
      </c>
      <c r="S42" s="7">
        <f t="shared" si="2"/>
        <v>0.10411532067856297</v>
      </c>
      <c r="T42" s="2">
        <v>40</v>
      </c>
      <c r="U42" s="2" t="s">
        <v>60</v>
      </c>
      <c r="V42" s="2">
        <v>17</v>
      </c>
      <c r="W42" s="2">
        <v>18</v>
      </c>
      <c r="X42" s="2">
        <v>35</v>
      </c>
    </row>
    <row r="43" spans="1:24" x14ac:dyDescent="0.25">
      <c r="A43" t="s">
        <v>34</v>
      </c>
      <c r="J43" s="1"/>
      <c r="K43" s="1"/>
      <c r="L43" s="1"/>
    </row>
    <row r="44" spans="1:24" x14ac:dyDescent="0.25">
      <c r="A44" s="5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40</v>
      </c>
      <c r="G44" s="5" t="s">
        <v>41</v>
      </c>
      <c r="H44" s="5" t="s">
        <v>42</v>
      </c>
      <c r="I44" s="5" t="s">
        <v>8</v>
      </c>
      <c r="J44" s="1"/>
      <c r="K44" s="1"/>
      <c r="L44" s="1"/>
    </row>
    <row r="45" spans="1:24" x14ac:dyDescent="0.25">
      <c r="A45" s="2">
        <v>0.41599999999999998</v>
      </c>
      <c r="B45" s="2">
        <v>0.26400000000000001</v>
      </c>
      <c r="C45" s="2">
        <v>0.106</v>
      </c>
      <c r="D45" s="2">
        <v>6.6000000000000003E-2</v>
      </c>
      <c r="E45" s="2">
        <v>4.3999999999999997E-2</v>
      </c>
      <c r="F45" s="2">
        <v>2.8000000000000001E-2</v>
      </c>
      <c r="G45" s="2">
        <v>1.6E-2</v>
      </c>
      <c r="H45" s="2">
        <v>8.9999999999999993E-3</v>
      </c>
      <c r="I45" s="3">
        <v>0</v>
      </c>
      <c r="J45" s="1"/>
      <c r="K45" s="1"/>
      <c r="L45" s="1"/>
    </row>
    <row r="46" spans="1:24" x14ac:dyDescent="0.25">
      <c r="A46" s="2">
        <v>0.41599999999999998</v>
      </c>
      <c r="B46" s="2">
        <v>0.26400000000000001</v>
      </c>
      <c r="C46" s="2">
        <v>0.106</v>
      </c>
      <c r="D46" s="2">
        <v>6.6000000000000003E-2</v>
      </c>
      <c r="E46" s="2">
        <v>4.3999999999999997E-2</v>
      </c>
      <c r="F46" s="2">
        <v>2.8000000000000001E-2</v>
      </c>
      <c r="G46" s="2">
        <v>1.6E-2</v>
      </c>
      <c r="H46" s="2">
        <v>8.9999999999999993E-3</v>
      </c>
      <c r="I46" s="3">
        <v>0</v>
      </c>
      <c r="J46" s="1"/>
      <c r="K46" s="1"/>
      <c r="L46" s="1"/>
    </row>
    <row r="47" spans="1:24" x14ac:dyDescent="0.25">
      <c r="A47" s="2">
        <v>0.41599999999999998</v>
      </c>
      <c r="B47" s="2">
        <v>0.26400000000000001</v>
      </c>
      <c r="C47" s="2">
        <v>0.106</v>
      </c>
      <c r="D47" s="2">
        <v>6.6000000000000003E-2</v>
      </c>
      <c r="E47" s="2">
        <v>4.3999999999999997E-2</v>
      </c>
      <c r="F47" s="2">
        <v>2.8000000000000001E-2</v>
      </c>
      <c r="G47" s="2">
        <v>1.6E-2</v>
      </c>
      <c r="H47" s="2">
        <v>8.9999999999999993E-3</v>
      </c>
      <c r="I47" s="3">
        <v>0</v>
      </c>
      <c r="J47" s="1"/>
      <c r="K47" s="1"/>
      <c r="L47" s="1"/>
    </row>
    <row r="48" spans="1:24" x14ac:dyDescent="0.25">
      <c r="A48" s="2">
        <v>0.41599999999999998</v>
      </c>
      <c r="B48" s="2">
        <v>0.26400000000000001</v>
      </c>
      <c r="C48" s="2">
        <v>0.106</v>
      </c>
      <c r="D48" s="2">
        <v>6.6000000000000003E-2</v>
      </c>
      <c r="E48" s="2">
        <v>4.3999999999999997E-2</v>
      </c>
      <c r="F48" s="2">
        <v>2.8000000000000001E-2</v>
      </c>
      <c r="G48" s="2">
        <v>1.6E-2</v>
      </c>
      <c r="H48" s="2">
        <v>8.9999999999999993E-3</v>
      </c>
      <c r="I48" s="3">
        <v>0</v>
      </c>
      <c r="J48" s="1"/>
      <c r="K48" s="1"/>
      <c r="L48" s="1"/>
    </row>
    <row r="49" spans="1:12" x14ac:dyDescent="0.25">
      <c r="A49" s="2">
        <v>0.41599999999999998</v>
      </c>
      <c r="B49" s="2">
        <v>0.26400000000000001</v>
      </c>
      <c r="C49" s="2">
        <v>0.106</v>
      </c>
      <c r="D49" s="2">
        <v>6.6000000000000003E-2</v>
      </c>
      <c r="E49" s="2">
        <v>4.3999999999999997E-2</v>
      </c>
      <c r="F49" s="2">
        <v>2.8000000000000001E-2</v>
      </c>
      <c r="G49" s="2">
        <v>1.6E-2</v>
      </c>
      <c r="H49" s="2">
        <v>8.9999999999999993E-3</v>
      </c>
      <c r="I49" s="3">
        <v>0</v>
      </c>
      <c r="J49" s="1"/>
      <c r="K49" s="1"/>
      <c r="L49" s="1"/>
    </row>
    <row r="50" spans="1:12" x14ac:dyDescent="0.25">
      <c r="A50" s="2">
        <v>0.41599999999999998</v>
      </c>
      <c r="B50" s="2">
        <v>0.26400000000000001</v>
      </c>
      <c r="C50" s="2">
        <v>0.106</v>
      </c>
      <c r="D50" s="2">
        <v>6.6000000000000003E-2</v>
      </c>
      <c r="E50" s="2">
        <v>4.3999999999999997E-2</v>
      </c>
      <c r="F50" s="2">
        <v>2.8000000000000001E-2</v>
      </c>
      <c r="G50" s="2">
        <v>1.6E-2</v>
      </c>
      <c r="H50" s="2">
        <v>8.9999999999999993E-3</v>
      </c>
      <c r="I50" s="3">
        <v>0</v>
      </c>
      <c r="J50" s="1"/>
      <c r="K50" s="1"/>
      <c r="L50" s="1"/>
    </row>
    <row r="51" spans="1:12" x14ac:dyDescent="0.25">
      <c r="A51" s="2">
        <v>0.41599999999999998</v>
      </c>
      <c r="B51" s="2">
        <v>0.26400000000000001</v>
      </c>
      <c r="C51" s="2">
        <v>0.106</v>
      </c>
      <c r="D51" s="2">
        <v>6.6000000000000003E-2</v>
      </c>
      <c r="E51" s="2">
        <v>4.3999999999999997E-2</v>
      </c>
      <c r="F51" s="2">
        <v>2.8000000000000001E-2</v>
      </c>
      <c r="G51" s="2">
        <v>1.6E-2</v>
      </c>
      <c r="H51" s="2">
        <v>8.9999999999999993E-3</v>
      </c>
      <c r="I51" s="3">
        <v>0</v>
      </c>
      <c r="J51" s="1"/>
      <c r="K51" s="1"/>
      <c r="L51" s="1"/>
    </row>
    <row r="52" spans="1:12" x14ac:dyDescent="0.25">
      <c r="A52" s="2">
        <v>0.41599999999999998</v>
      </c>
      <c r="B52" s="2">
        <v>0.26400000000000001</v>
      </c>
      <c r="C52" s="2">
        <v>0.106</v>
      </c>
      <c r="D52" s="2">
        <v>6.6000000000000003E-2</v>
      </c>
      <c r="E52" s="2">
        <v>4.3999999999999997E-2</v>
      </c>
      <c r="F52" s="2">
        <v>2.8000000000000001E-2</v>
      </c>
      <c r="G52" s="2">
        <v>1.6E-2</v>
      </c>
      <c r="H52" s="2">
        <v>8.9999999999999993E-3</v>
      </c>
      <c r="I52" s="3">
        <v>0</v>
      </c>
      <c r="J52" s="1"/>
      <c r="K52" s="1"/>
      <c r="L52" s="1"/>
    </row>
    <row r="53" spans="1:12" x14ac:dyDescent="0.25">
      <c r="A53" s="2">
        <v>0.41599999999999998</v>
      </c>
      <c r="B53" s="2">
        <v>0.26400000000000001</v>
      </c>
      <c r="C53" s="2">
        <v>0.106</v>
      </c>
      <c r="D53" s="2">
        <v>6.6000000000000003E-2</v>
      </c>
      <c r="E53" s="2">
        <v>4.3999999999999997E-2</v>
      </c>
      <c r="F53" s="2">
        <v>2.8000000000000001E-2</v>
      </c>
      <c r="G53" s="2">
        <v>1.6E-2</v>
      </c>
      <c r="H53" s="2">
        <v>8.9999999999999993E-3</v>
      </c>
      <c r="I53" s="3">
        <v>0</v>
      </c>
      <c r="J53" s="1"/>
      <c r="K53" s="1"/>
      <c r="L53" s="1"/>
    </row>
    <row r="54" spans="1:12" x14ac:dyDescent="0.25">
      <c r="A54" s="2">
        <v>0.41599999999999998</v>
      </c>
      <c r="B54" s="2">
        <v>0.26400000000000001</v>
      </c>
      <c r="C54" s="2">
        <v>0.106</v>
      </c>
      <c r="D54" s="2">
        <v>6.6000000000000003E-2</v>
      </c>
      <c r="E54" s="2">
        <v>4.3999999999999997E-2</v>
      </c>
      <c r="F54" s="2">
        <v>2.8000000000000001E-2</v>
      </c>
      <c r="G54" s="2">
        <v>1.6E-2</v>
      </c>
      <c r="H54" s="2">
        <v>8.9999999999999993E-3</v>
      </c>
      <c r="I54" s="3">
        <v>0</v>
      </c>
      <c r="J54" s="1"/>
      <c r="K54" s="1"/>
      <c r="L54" s="1"/>
    </row>
    <row r="55" spans="1:12" x14ac:dyDescent="0.25">
      <c r="A55" s="2">
        <v>0.41599999999999998</v>
      </c>
      <c r="B55" s="2">
        <v>0.26400000000000001</v>
      </c>
      <c r="C55" s="2">
        <v>0.106</v>
      </c>
      <c r="D55" s="2">
        <v>6.6000000000000003E-2</v>
      </c>
      <c r="E55" s="2">
        <v>4.3999999999999997E-2</v>
      </c>
      <c r="F55" s="2">
        <v>2.8000000000000001E-2</v>
      </c>
      <c r="G55" s="2">
        <v>1.6E-2</v>
      </c>
      <c r="H55" s="2">
        <v>8.9999999999999993E-3</v>
      </c>
      <c r="I55" s="3">
        <v>0</v>
      </c>
      <c r="J55" s="1"/>
      <c r="K55" s="1"/>
      <c r="L55" s="1"/>
    </row>
    <row r="56" spans="1:12" x14ac:dyDescent="0.25">
      <c r="A56" s="2">
        <v>0.41599999999999998</v>
      </c>
      <c r="B56" s="2">
        <v>0.26400000000000001</v>
      </c>
      <c r="C56" s="2">
        <v>0.106</v>
      </c>
      <c r="D56" s="2">
        <v>6.6000000000000003E-2</v>
      </c>
      <c r="E56" s="2">
        <v>4.3999999999999997E-2</v>
      </c>
      <c r="F56" s="2">
        <v>2.8000000000000001E-2</v>
      </c>
      <c r="G56" s="2">
        <v>1.6E-2</v>
      </c>
      <c r="H56" s="2">
        <v>8.9999999999999993E-3</v>
      </c>
      <c r="I56" s="3">
        <v>0</v>
      </c>
      <c r="J56" s="1"/>
      <c r="K56" s="1"/>
      <c r="L56" s="1"/>
    </row>
    <row r="57" spans="1:12" x14ac:dyDescent="0.25">
      <c r="A57" s="2">
        <v>0.41599999999999998</v>
      </c>
      <c r="B57" s="2">
        <v>0.26400000000000001</v>
      </c>
      <c r="C57" s="2">
        <v>0.106</v>
      </c>
      <c r="D57" s="2">
        <v>6.6000000000000003E-2</v>
      </c>
      <c r="E57" s="2">
        <v>4.3999999999999997E-2</v>
      </c>
      <c r="F57" s="2">
        <v>2.8000000000000001E-2</v>
      </c>
      <c r="G57" s="2">
        <v>1.6E-2</v>
      </c>
      <c r="H57" s="2">
        <v>8.9999999999999993E-3</v>
      </c>
      <c r="I57" s="3">
        <v>0</v>
      </c>
      <c r="J57" s="1"/>
      <c r="K57" s="1"/>
      <c r="L57" s="1"/>
    </row>
    <row r="58" spans="1:12" x14ac:dyDescent="0.25">
      <c r="A58" s="2">
        <v>0.41599999999999998</v>
      </c>
      <c r="B58" s="2">
        <v>0.26400000000000001</v>
      </c>
      <c r="C58" s="2">
        <v>0.106</v>
      </c>
      <c r="D58" s="2">
        <v>6.6000000000000003E-2</v>
      </c>
      <c r="E58" s="2">
        <v>4.3999999999999997E-2</v>
      </c>
      <c r="F58" s="2">
        <v>2.8000000000000001E-2</v>
      </c>
      <c r="G58" s="2">
        <v>1.6E-2</v>
      </c>
      <c r="H58" s="2">
        <v>8.9999999999999993E-3</v>
      </c>
      <c r="I58" s="3">
        <v>0</v>
      </c>
      <c r="J58" s="1"/>
      <c r="K58" s="1"/>
      <c r="L58" s="1"/>
    </row>
    <row r="59" spans="1:12" x14ac:dyDescent="0.25">
      <c r="A59" s="2">
        <v>0.41599999999999998</v>
      </c>
      <c r="B59" s="2">
        <v>0.26400000000000001</v>
      </c>
      <c r="C59" s="2">
        <v>0.106</v>
      </c>
      <c r="D59" s="2">
        <v>6.6000000000000003E-2</v>
      </c>
      <c r="E59" s="2">
        <v>4.3999999999999997E-2</v>
      </c>
      <c r="F59" s="2">
        <v>2.8000000000000001E-2</v>
      </c>
      <c r="G59" s="2">
        <v>1.6E-2</v>
      </c>
      <c r="H59" s="2">
        <v>8.9999999999999993E-3</v>
      </c>
      <c r="I59" s="3">
        <v>0</v>
      </c>
      <c r="J59" s="1"/>
      <c r="K59" s="1"/>
      <c r="L59" s="1"/>
    </row>
    <row r="60" spans="1:12" x14ac:dyDescent="0.25">
      <c r="A60" s="2">
        <v>0.41599999999999998</v>
      </c>
      <c r="B60" s="2">
        <v>0.26400000000000001</v>
      </c>
      <c r="C60" s="2">
        <v>0.106</v>
      </c>
      <c r="D60" s="2">
        <v>6.6000000000000003E-2</v>
      </c>
      <c r="E60" s="2">
        <v>4.3999999999999997E-2</v>
      </c>
      <c r="F60" s="2">
        <v>2.8000000000000001E-2</v>
      </c>
      <c r="G60" s="2">
        <v>1.6E-2</v>
      </c>
      <c r="H60" s="2">
        <v>8.9999999999999993E-3</v>
      </c>
      <c r="I60" s="3">
        <v>0</v>
      </c>
      <c r="J60" s="1"/>
      <c r="K60" s="1"/>
      <c r="L60" s="1"/>
    </row>
    <row r="61" spans="1:12" x14ac:dyDescent="0.25">
      <c r="A61" s="2">
        <v>0.41599999999999998</v>
      </c>
      <c r="B61" s="2">
        <v>0.26400000000000001</v>
      </c>
      <c r="C61" s="2">
        <v>0.106</v>
      </c>
      <c r="D61" s="2">
        <v>6.6000000000000003E-2</v>
      </c>
      <c r="E61" s="2">
        <v>4.3999999999999997E-2</v>
      </c>
      <c r="F61" s="2">
        <v>2.8000000000000001E-2</v>
      </c>
      <c r="G61" s="2">
        <v>1.6E-2</v>
      </c>
      <c r="H61" s="2">
        <v>8.9999999999999993E-3</v>
      </c>
      <c r="I61" s="3">
        <v>0</v>
      </c>
      <c r="J61" s="1"/>
      <c r="K61" s="1"/>
      <c r="L61" s="1"/>
    </row>
    <row r="62" spans="1:12" x14ac:dyDescent="0.25">
      <c r="A62" s="2">
        <v>0.41599999999999998</v>
      </c>
      <c r="B62" s="2">
        <v>0.26400000000000001</v>
      </c>
      <c r="C62" s="2">
        <v>0.106</v>
      </c>
      <c r="D62" s="2">
        <v>6.6000000000000003E-2</v>
      </c>
      <c r="E62" s="2">
        <v>4.3999999999999997E-2</v>
      </c>
      <c r="F62" s="2">
        <v>2.8000000000000001E-2</v>
      </c>
      <c r="G62" s="2">
        <v>1.6E-2</v>
      </c>
      <c r="H62" s="2">
        <v>8.9999999999999993E-3</v>
      </c>
      <c r="I62" s="3">
        <v>0</v>
      </c>
      <c r="J62" s="1"/>
      <c r="K62" s="1"/>
      <c r="L62" s="1"/>
    </row>
    <row r="63" spans="1:12" x14ac:dyDescent="0.25">
      <c r="A63" s="2">
        <v>0.41599999999999998</v>
      </c>
      <c r="B63" s="2">
        <v>0.26400000000000001</v>
      </c>
      <c r="C63" s="2">
        <v>0.106</v>
      </c>
      <c r="D63" s="2">
        <v>6.6000000000000003E-2</v>
      </c>
      <c r="E63" s="2">
        <v>4.3999999999999997E-2</v>
      </c>
      <c r="F63" s="2">
        <v>2.8000000000000001E-2</v>
      </c>
      <c r="G63" s="2">
        <v>1.6E-2</v>
      </c>
      <c r="H63" s="2">
        <v>8.9999999999999993E-3</v>
      </c>
      <c r="I63" s="3">
        <v>0</v>
      </c>
      <c r="J63" s="1"/>
      <c r="K63" s="1"/>
      <c r="L63" s="1"/>
    </row>
    <row r="64" spans="1:12" x14ac:dyDescent="0.25">
      <c r="A64" s="2">
        <v>0.41599999999999998</v>
      </c>
      <c r="B64" s="2">
        <v>0.26400000000000001</v>
      </c>
      <c r="C64" s="2">
        <v>0.106</v>
      </c>
      <c r="D64" s="2">
        <v>6.6000000000000003E-2</v>
      </c>
      <c r="E64" s="2">
        <v>4.3999999999999997E-2</v>
      </c>
      <c r="F64" s="2">
        <v>2.8000000000000001E-2</v>
      </c>
      <c r="G64" s="2">
        <v>1.6E-2</v>
      </c>
      <c r="H64" s="2">
        <v>8.9999999999999993E-3</v>
      </c>
      <c r="I64" s="3">
        <v>0</v>
      </c>
      <c r="J64" s="1"/>
      <c r="K64" s="1"/>
      <c r="L64" s="1"/>
    </row>
    <row r="65" spans="1:12" x14ac:dyDescent="0.25">
      <c r="A65" s="2">
        <v>0.41599999999999998</v>
      </c>
      <c r="B65" s="2">
        <v>0.26400000000000001</v>
      </c>
      <c r="C65" s="2">
        <v>0.106</v>
      </c>
      <c r="D65" s="2">
        <v>6.6000000000000003E-2</v>
      </c>
      <c r="E65" s="2">
        <v>4.3999999999999997E-2</v>
      </c>
      <c r="F65" s="2">
        <v>2.8000000000000001E-2</v>
      </c>
      <c r="G65" s="2">
        <v>1.6E-2</v>
      </c>
      <c r="H65" s="2">
        <v>8.9999999999999993E-3</v>
      </c>
      <c r="I65" s="3">
        <v>0</v>
      </c>
      <c r="J65" s="1"/>
      <c r="K65" s="1"/>
      <c r="L65" s="1"/>
    </row>
    <row r="66" spans="1:12" x14ac:dyDescent="0.25">
      <c r="A66" s="2">
        <v>0.41599999999999998</v>
      </c>
      <c r="B66" s="2">
        <v>0.26400000000000001</v>
      </c>
      <c r="C66" s="2">
        <v>0.106</v>
      </c>
      <c r="D66" s="2">
        <v>6.6000000000000003E-2</v>
      </c>
      <c r="E66" s="2">
        <v>4.3999999999999997E-2</v>
      </c>
      <c r="F66" s="2">
        <v>2.8000000000000001E-2</v>
      </c>
      <c r="G66" s="2">
        <v>1.6E-2</v>
      </c>
      <c r="H66" s="2">
        <v>8.9999999999999993E-3</v>
      </c>
      <c r="I66" s="3">
        <v>0</v>
      </c>
      <c r="J66" s="1"/>
      <c r="K66" s="1"/>
      <c r="L66" s="1"/>
    </row>
    <row r="67" spans="1:12" x14ac:dyDescent="0.25">
      <c r="A67" s="2">
        <v>0.41599999999999998</v>
      </c>
      <c r="B67" s="2">
        <v>0.26400000000000001</v>
      </c>
      <c r="C67" s="2">
        <v>0.106</v>
      </c>
      <c r="D67" s="2">
        <v>6.6000000000000003E-2</v>
      </c>
      <c r="E67" s="2">
        <v>4.3999999999999997E-2</v>
      </c>
      <c r="F67" s="2">
        <v>2.8000000000000001E-2</v>
      </c>
      <c r="G67" s="2">
        <v>1.6E-2</v>
      </c>
      <c r="H67" s="2">
        <v>8.9999999999999993E-3</v>
      </c>
      <c r="I67" s="3">
        <v>0</v>
      </c>
      <c r="J67" s="1"/>
      <c r="K67" s="1"/>
      <c r="L67" s="1"/>
    </row>
    <row r="68" spans="1:12" x14ac:dyDescent="0.25">
      <c r="A68" s="2">
        <v>0.41599999999999998</v>
      </c>
      <c r="B68" s="2">
        <v>0.26400000000000001</v>
      </c>
      <c r="C68" s="2">
        <v>0.106</v>
      </c>
      <c r="D68" s="2">
        <v>6.6000000000000003E-2</v>
      </c>
      <c r="E68" s="2">
        <v>4.3999999999999997E-2</v>
      </c>
      <c r="F68" s="2">
        <v>2.8000000000000001E-2</v>
      </c>
      <c r="G68" s="2">
        <v>1.6E-2</v>
      </c>
      <c r="H68" s="2">
        <v>8.9999999999999993E-3</v>
      </c>
      <c r="I68" s="3">
        <v>0</v>
      </c>
      <c r="J68" s="1"/>
      <c r="K68" s="1"/>
      <c r="L68" s="1"/>
    </row>
    <row r="69" spans="1:12" x14ac:dyDescent="0.25">
      <c r="A69" s="2">
        <v>0.41599999999999998</v>
      </c>
      <c r="B69" s="2">
        <v>0.26400000000000001</v>
      </c>
      <c r="C69" s="2">
        <v>0.106</v>
      </c>
      <c r="D69" s="2">
        <v>6.6000000000000003E-2</v>
      </c>
      <c r="E69" s="2">
        <v>4.3999999999999997E-2</v>
      </c>
      <c r="F69" s="2">
        <v>2.8000000000000001E-2</v>
      </c>
      <c r="G69" s="2">
        <v>1.6E-2</v>
      </c>
      <c r="H69" s="2">
        <v>8.9999999999999993E-3</v>
      </c>
      <c r="I69" s="3">
        <v>0</v>
      </c>
      <c r="J69" s="1"/>
      <c r="K69" s="1"/>
      <c r="L69" s="1"/>
    </row>
    <row r="70" spans="1:12" x14ac:dyDescent="0.25">
      <c r="A70" s="2">
        <v>0.41599999999999998</v>
      </c>
      <c r="B70" s="2">
        <v>0.26400000000000001</v>
      </c>
      <c r="C70" s="2">
        <v>0.106</v>
      </c>
      <c r="D70" s="2">
        <v>6.6000000000000003E-2</v>
      </c>
      <c r="E70" s="2">
        <v>4.3999999999999997E-2</v>
      </c>
      <c r="F70" s="2">
        <v>2.8000000000000001E-2</v>
      </c>
      <c r="G70" s="2">
        <v>1.6E-2</v>
      </c>
      <c r="H70" s="2">
        <v>8.9999999999999993E-3</v>
      </c>
      <c r="I70" s="3">
        <v>0</v>
      </c>
      <c r="J70" s="1"/>
      <c r="K70" s="1"/>
      <c r="L70" s="1"/>
    </row>
    <row r="71" spans="1:12" x14ac:dyDescent="0.25">
      <c r="A71" s="2">
        <v>0.41599999999999998</v>
      </c>
      <c r="B71" s="2">
        <v>0.26400000000000001</v>
      </c>
      <c r="C71" s="2">
        <v>0.106</v>
      </c>
      <c r="D71" s="2">
        <v>6.6000000000000003E-2</v>
      </c>
      <c r="E71" s="2">
        <v>4.3999999999999997E-2</v>
      </c>
      <c r="F71" s="2">
        <v>2.8000000000000001E-2</v>
      </c>
      <c r="G71" s="2">
        <v>1.6E-2</v>
      </c>
      <c r="H71" s="2">
        <v>8.9999999999999993E-3</v>
      </c>
      <c r="I71" s="3">
        <v>0</v>
      </c>
      <c r="J71" s="1"/>
      <c r="K71" s="1"/>
      <c r="L71" s="1"/>
    </row>
    <row r="72" spans="1:12" x14ac:dyDescent="0.25">
      <c r="A72" s="2">
        <v>0.41599999999999998</v>
      </c>
      <c r="B72" s="2">
        <v>0.26400000000000001</v>
      </c>
      <c r="C72" s="2">
        <v>0.106</v>
      </c>
      <c r="D72" s="2">
        <v>6.6000000000000003E-2</v>
      </c>
      <c r="E72" s="2">
        <v>4.3999999999999997E-2</v>
      </c>
      <c r="F72" s="2">
        <v>2.8000000000000001E-2</v>
      </c>
      <c r="G72" s="2">
        <v>1.6E-2</v>
      </c>
      <c r="H72" s="2">
        <v>8.9999999999999993E-3</v>
      </c>
      <c r="I72" s="3">
        <v>0</v>
      </c>
      <c r="J72" s="1"/>
      <c r="K72" s="1"/>
      <c r="L72" s="1"/>
    </row>
    <row r="73" spans="1:12" x14ac:dyDescent="0.25">
      <c r="A73" s="2">
        <v>0.41599999999999998</v>
      </c>
      <c r="B73" s="2">
        <v>0.26400000000000001</v>
      </c>
      <c r="C73" s="2">
        <v>0.106</v>
      </c>
      <c r="D73" s="2">
        <v>6.6000000000000003E-2</v>
      </c>
      <c r="E73" s="2">
        <v>4.3999999999999997E-2</v>
      </c>
      <c r="F73" s="2">
        <v>2.8000000000000001E-2</v>
      </c>
      <c r="G73" s="2">
        <v>1.6E-2</v>
      </c>
      <c r="H73" s="2">
        <v>8.9999999999999993E-3</v>
      </c>
      <c r="I73" s="3">
        <v>0</v>
      </c>
      <c r="J73" s="1"/>
      <c r="K73" s="1"/>
      <c r="L73" s="1"/>
    </row>
    <row r="74" spans="1:12" x14ac:dyDescent="0.25">
      <c r="A74" s="2">
        <v>0.41599999999999998</v>
      </c>
      <c r="B74" s="2">
        <v>0.26400000000000001</v>
      </c>
      <c r="C74" s="2">
        <v>0.106</v>
      </c>
      <c r="D74" s="2">
        <v>6.6000000000000003E-2</v>
      </c>
      <c r="E74" s="2">
        <v>4.3999999999999997E-2</v>
      </c>
      <c r="F74" s="2">
        <v>2.8000000000000001E-2</v>
      </c>
      <c r="G74" s="2">
        <v>1.6E-2</v>
      </c>
      <c r="H74" s="2">
        <v>8.9999999999999993E-3</v>
      </c>
      <c r="I74" s="3">
        <v>0</v>
      </c>
      <c r="J74" s="1"/>
      <c r="K74" s="1"/>
      <c r="L74" s="1"/>
    </row>
    <row r="75" spans="1:12" x14ac:dyDescent="0.25">
      <c r="A75" s="2">
        <v>0.41599999999999998</v>
      </c>
      <c r="B75" s="2">
        <v>0.26400000000000001</v>
      </c>
      <c r="C75" s="2">
        <v>0.106</v>
      </c>
      <c r="D75" s="2">
        <v>6.6000000000000003E-2</v>
      </c>
      <c r="E75" s="2">
        <v>4.3999999999999997E-2</v>
      </c>
      <c r="F75" s="2">
        <v>2.8000000000000001E-2</v>
      </c>
      <c r="G75" s="2">
        <v>1.6E-2</v>
      </c>
      <c r="H75" s="2">
        <v>8.9999999999999993E-3</v>
      </c>
      <c r="I75" s="3">
        <v>0</v>
      </c>
      <c r="J75" s="1"/>
      <c r="K75" s="1"/>
      <c r="L75" s="1"/>
    </row>
    <row r="76" spans="1:12" x14ac:dyDescent="0.25">
      <c r="A76" s="2">
        <v>0.41599999999999998</v>
      </c>
      <c r="B76" s="2">
        <v>0.26400000000000001</v>
      </c>
      <c r="C76" s="2">
        <v>0.106</v>
      </c>
      <c r="D76" s="2">
        <v>6.6000000000000003E-2</v>
      </c>
      <c r="E76" s="2">
        <v>4.3999999999999997E-2</v>
      </c>
      <c r="F76" s="2">
        <v>2.8000000000000001E-2</v>
      </c>
      <c r="G76" s="2">
        <v>1.6E-2</v>
      </c>
      <c r="H76" s="2">
        <v>8.9999999999999993E-3</v>
      </c>
      <c r="I76" s="3">
        <v>0</v>
      </c>
      <c r="J76" s="1"/>
      <c r="K76" s="1"/>
      <c r="L76" s="1"/>
    </row>
    <row r="77" spans="1:12" x14ac:dyDescent="0.25">
      <c r="A77" s="2">
        <v>0.41599999999999998</v>
      </c>
      <c r="B77" s="2">
        <v>0.26400000000000001</v>
      </c>
      <c r="C77" s="2">
        <v>0.106</v>
      </c>
      <c r="D77" s="2">
        <v>6.6000000000000003E-2</v>
      </c>
      <c r="E77" s="2">
        <v>4.3999999999999997E-2</v>
      </c>
      <c r="F77" s="2">
        <v>2.8000000000000001E-2</v>
      </c>
      <c r="G77" s="2">
        <v>1.6E-2</v>
      </c>
      <c r="H77" s="2">
        <v>8.9999999999999993E-3</v>
      </c>
      <c r="I77" s="3">
        <v>0</v>
      </c>
      <c r="J77" s="1"/>
      <c r="K77" s="1"/>
      <c r="L77" s="1"/>
    </row>
    <row r="78" spans="1:12" x14ac:dyDescent="0.25">
      <c r="A78" s="2">
        <v>0.41599999999999998</v>
      </c>
      <c r="B78" s="2">
        <v>0.26400000000000001</v>
      </c>
      <c r="C78" s="2">
        <v>0.106</v>
      </c>
      <c r="D78" s="2">
        <v>6.6000000000000003E-2</v>
      </c>
      <c r="E78" s="2">
        <v>4.3999999999999997E-2</v>
      </c>
      <c r="F78" s="2">
        <v>2.8000000000000001E-2</v>
      </c>
      <c r="G78" s="2">
        <v>1.6E-2</v>
      </c>
      <c r="H78" s="2">
        <v>8.9999999999999993E-3</v>
      </c>
      <c r="I78" s="3">
        <v>0</v>
      </c>
      <c r="J78" s="1"/>
      <c r="K78" s="1"/>
      <c r="L78" s="1"/>
    </row>
    <row r="79" spans="1:12" x14ac:dyDescent="0.25">
      <c r="A79" s="2">
        <v>0.41599999999999998</v>
      </c>
      <c r="B79" s="2">
        <v>0.26400000000000001</v>
      </c>
      <c r="C79" s="2">
        <v>0.106</v>
      </c>
      <c r="D79" s="2">
        <v>6.6000000000000003E-2</v>
      </c>
      <c r="E79" s="2">
        <v>4.3999999999999997E-2</v>
      </c>
      <c r="F79" s="2">
        <v>2.8000000000000001E-2</v>
      </c>
      <c r="G79" s="2">
        <v>1.6E-2</v>
      </c>
      <c r="H79" s="2">
        <v>8.9999999999999993E-3</v>
      </c>
      <c r="I79" s="3">
        <v>0</v>
      </c>
      <c r="J79" s="1"/>
      <c r="K79" s="1"/>
      <c r="L79" s="1"/>
    </row>
    <row r="80" spans="1:12" x14ac:dyDescent="0.25">
      <c r="A80" s="2">
        <v>0.41599999999999998</v>
      </c>
      <c r="B80" s="2">
        <v>0.26400000000000001</v>
      </c>
      <c r="C80" s="2">
        <v>0.106</v>
      </c>
      <c r="D80" s="2">
        <v>6.6000000000000003E-2</v>
      </c>
      <c r="E80" s="2">
        <v>4.3999999999999997E-2</v>
      </c>
      <c r="F80" s="2">
        <v>2.8000000000000001E-2</v>
      </c>
      <c r="G80" s="2">
        <v>1.6E-2</v>
      </c>
      <c r="H80" s="2">
        <v>8.9999999999999993E-3</v>
      </c>
      <c r="I80" s="3">
        <v>0</v>
      </c>
      <c r="J80" s="1"/>
      <c r="K80" s="1"/>
      <c r="L80" s="1"/>
    </row>
    <row r="81" spans="1:12" x14ac:dyDescent="0.25">
      <c r="A81" s="2">
        <v>0.41599999999999998</v>
      </c>
      <c r="B81" s="2">
        <v>0.26400000000000001</v>
      </c>
      <c r="C81" s="2">
        <v>0.106</v>
      </c>
      <c r="D81" s="2">
        <v>6.6000000000000003E-2</v>
      </c>
      <c r="E81" s="2">
        <v>4.3999999999999997E-2</v>
      </c>
      <c r="F81" s="2">
        <v>2.8000000000000001E-2</v>
      </c>
      <c r="G81" s="2">
        <v>1.6E-2</v>
      </c>
      <c r="H81" s="2">
        <v>8.9999999999999993E-3</v>
      </c>
      <c r="I81" s="3">
        <v>0</v>
      </c>
      <c r="J81" s="1"/>
      <c r="K81" s="1"/>
      <c r="L81" s="1"/>
    </row>
    <row r="82" spans="1:12" x14ac:dyDescent="0.25">
      <c r="A82" s="2">
        <v>0.41599999999999998</v>
      </c>
      <c r="B82" s="2">
        <v>0.26400000000000001</v>
      </c>
      <c r="C82" s="2">
        <v>0.106</v>
      </c>
      <c r="D82" s="2">
        <v>6.6000000000000003E-2</v>
      </c>
      <c r="E82" s="2">
        <v>4.3999999999999997E-2</v>
      </c>
      <c r="F82" s="2">
        <v>2.8000000000000001E-2</v>
      </c>
      <c r="G82" s="2">
        <v>1.6E-2</v>
      </c>
      <c r="H82" s="2">
        <v>8.9999999999999993E-3</v>
      </c>
      <c r="I82" s="3">
        <v>0</v>
      </c>
      <c r="J82" s="1"/>
      <c r="K82" s="1"/>
      <c r="L82" s="1"/>
    </row>
    <row r="83" spans="1:12" x14ac:dyDescent="0.25">
      <c r="A83" s="2">
        <v>0.41599999999999998</v>
      </c>
      <c r="B83" s="2">
        <v>0.26400000000000001</v>
      </c>
      <c r="C83" s="2">
        <v>0.106</v>
      </c>
      <c r="D83" s="2">
        <v>6.6000000000000003E-2</v>
      </c>
      <c r="E83" s="2">
        <v>4.3999999999999997E-2</v>
      </c>
      <c r="F83" s="2">
        <v>2.8000000000000001E-2</v>
      </c>
      <c r="G83" s="2">
        <v>1.6E-2</v>
      </c>
      <c r="H83" s="2">
        <v>8.9999999999999993E-3</v>
      </c>
      <c r="I83" s="3">
        <v>0</v>
      </c>
      <c r="J83" s="1"/>
      <c r="K83" s="1"/>
      <c r="L83" s="1"/>
    </row>
    <row r="84" spans="1:12" x14ac:dyDescent="0.25">
      <c r="A84" s="2">
        <v>0.41599999999999998</v>
      </c>
      <c r="B84" s="2">
        <v>0.26400000000000001</v>
      </c>
      <c r="C84" s="2">
        <v>0.106</v>
      </c>
      <c r="D84" s="2">
        <v>6.6000000000000003E-2</v>
      </c>
      <c r="E84" s="2">
        <v>4.3999999999999997E-2</v>
      </c>
      <c r="F84" s="2">
        <v>2.8000000000000001E-2</v>
      </c>
      <c r="G84" s="2">
        <v>1.6E-2</v>
      </c>
      <c r="H84" s="2">
        <v>8.9999999999999993E-3</v>
      </c>
      <c r="I84" s="3">
        <v>0</v>
      </c>
      <c r="J84" s="1"/>
      <c r="K84" s="1"/>
      <c r="L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hog_30lv_knn</vt:lpstr>
      <vt:lpstr>hog_20lv_knn</vt:lpstr>
      <vt:lpstr>hog_10lv_knn</vt:lpstr>
      <vt:lpstr>slic_30lv_knn</vt:lpstr>
      <vt:lpstr>slic_20lv_knn</vt:lpstr>
      <vt:lpstr>slic_10lv_knn</vt:lpstr>
      <vt:lpstr>pca_30lv_knn</vt:lpstr>
      <vt:lpstr>pca_20lv_knn</vt:lpstr>
      <vt:lpstr>pca_10lv_knn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Windows_10</cp:lastModifiedBy>
  <dcterms:created xsi:type="dcterms:W3CDTF">2025-10-23T15:15:50Z</dcterms:created>
  <dcterms:modified xsi:type="dcterms:W3CDTF">2025-11-10T20:13:37Z</dcterms:modified>
</cp:coreProperties>
</file>